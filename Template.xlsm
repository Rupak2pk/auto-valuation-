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yamPC\Documents\GitHub\auto-valuation-\"/>
    </mc:Choice>
  </mc:AlternateContent>
  <xr:revisionPtr revIDLastSave="0" documentId="8_{7269CEA6-9D27-4C1F-B29F-508343839640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CF" sheetId="6" r:id="rId1"/>
    <sheet name="Multiples" sheetId="1" r:id="rId2"/>
    <sheet name="DDM" sheetId="2" r:id="rId3"/>
    <sheet name="FCFF &amp; FCFE" sheetId="4" r:id="rId4"/>
    <sheet name="Growth Rates" sheetId="3" r:id="rId5"/>
    <sheet name="Change WC" sheetId="5" r:id="rId6"/>
    <sheet name="Income Statement" sheetId="8" r:id="rId7"/>
    <sheet name="Balance Sheet (Annual)" sheetId="9" r:id="rId8"/>
    <sheet name="Balance Sheet (Quarterly)" sheetId="13" r:id="rId9"/>
    <sheet name="Cash Flow Statement" sheetId="10" r:id="rId10"/>
    <sheet name="Key Ratios" sheetId="11" r:id="rId11"/>
    <sheet name="Debt Input" sheetId="12" r:id="rId12"/>
  </sheets>
  <definedNames>
    <definedName name="ExternalData_1" localSheetId="11">'Debt Input'!$A$1:$C$21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2" i="6" l="1"/>
  <c r="B6" i="6"/>
  <c r="C12" i="6"/>
  <c r="D12" i="6"/>
  <c r="E12" i="6"/>
  <c r="F12" i="6"/>
  <c r="G12" i="6"/>
  <c r="H12" i="6"/>
  <c r="I12" i="6"/>
  <c r="J12" i="6"/>
  <c r="K12" i="6"/>
  <c r="B18" i="3"/>
  <c r="H5" i="1"/>
  <c r="H4" i="1"/>
  <c r="H3" i="1"/>
  <c r="V4" i="6"/>
  <c r="T5" i="6" l="1"/>
  <c r="C5" i="3"/>
  <c r="D5" i="3"/>
  <c r="E5" i="3"/>
  <c r="F5" i="3"/>
  <c r="G5" i="3"/>
  <c r="H5" i="3"/>
  <c r="I5" i="3"/>
  <c r="J5" i="3"/>
  <c r="K5" i="3"/>
  <c r="B5" i="3"/>
  <c r="C4" i="3"/>
  <c r="D4" i="3"/>
  <c r="E4" i="3"/>
  <c r="F4" i="3"/>
  <c r="G4" i="3"/>
  <c r="H4" i="3"/>
  <c r="I4" i="3"/>
  <c r="J4" i="3"/>
  <c r="K4" i="3"/>
  <c r="B4" i="3"/>
  <c r="C3" i="3"/>
  <c r="D3" i="3"/>
  <c r="E3" i="3"/>
  <c r="F3" i="3"/>
  <c r="G3" i="3"/>
  <c r="H3" i="3"/>
  <c r="I3" i="3"/>
  <c r="J3" i="3"/>
  <c r="K3" i="3"/>
  <c r="B3" i="3"/>
  <c r="B2" i="3"/>
  <c r="C2" i="3"/>
  <c r="B1" i="3"/>
  <c r="C1" i="3"/>
  <c r="D1" i="3"/>
  <c r="E1" i="3"/>
  <c r="F1" i="3"/>
  <c r="G1" i="3"/>
  <c r="H1" i="3"/>
  <c r="I1" i="3"/>
  <c r="J1" i="3"/>
  <c r="K1" i="3"/>
  <c r="D2" i="3"/>
  <c r="E2" i="3"/>
  <c r="F2" i="3"/>
  <c r="G2" i="3"/>
  <c r="H2" i="3"/>
  <c r="I2" i="3"/>
  <c r="J2" i="3"/>
  <c r="K2" i="3"/>
  <c r="C14" i="5"/>
  <c r="C13" i="5"/>
  <c r="C12" i="5"/>
  <c r="C11" i="5"/>
  <c r="C10" i="5"/>
  <c r="B10" i="5"/>
  <c r="B14" i="5"/>
  <c r="B13" i="5"/>
  <c r="B12" i="5"/>
  <c r="B11" i="5"/>
  <c r="B6" i="5"/>
  <c r="C6" i="5"/>
  <c r="C5" i="5"/>
  <c r="B5" i="5"/>
  <c r="C4" i="5"/>
  <c r="B4" i="5"/>
  <c r="C3" i="5"/>
  <c r="B3" i="5"/>
  <c r="J4" i="4"/>
  <c r="J3" i="4"/>
  <c r="B7" i="4"/>
  <c r="B31" i="4"/>
  <c r="B30" i="4"/>
  <c r="B29" i="4"/>
  <c r="B21" i="4"/>
  <c r="J1" i="4"/>
  <c r="B12" i="4" s="1"/>
  <c r="B4" i="4"/>
  <c r="B5" i="4"/>
  <c r="G29" i="6" l="1"/>
  <c r="G30" i="6" s="1"/>
  <c r="G31" i="6" s="1"/>
  <c r="G32" i="6" s="1"/>
  <c r="G33" i="6" s="1"/>
  <c r="D28" i="6" l="1"/>
  <c r="B26" i="6"/>
  <c r="C26" i="6" s="1"/>
  <c r="L12" i="6"/>
  <c r="G13" i="6"/>
  <c r="H13" i="6"/>
  <c r="I13" i="6"/>
  <c r="J13" i="6"/>
  <c r="K13" i="6"/>
  <c r="P13" i="6"/>
  <c r="P5" i="6"/>
  <c r="P8" i="6" s="1"/>
  <c r="P19" i="6" s="1"/>
  <c r="A6" i="6" l="1"/>
  <c r="C15" i="5"/>
  <c r="B15" i="5"/>
  <c r="C7" i="5"/>
  <c r="B7" i="5"/>
  <c r="E33" i="4"/>
  <c r="E31" i="4"/>
  <c r="E30" i="4"/>
  <c r="E29" i="4"/>
  <c r="E28" i="4"/>
  <c r="B33" i="4"/>
  <c r="B28" i="4"/>
  <c r="E22" i="4"/>
  <c r="E21" i="4"/>
  <c r="B23" i="4"/>
  <c r="E15" i="4"/>
  <c r="E13" i="4"/>
  <c r="B15" i="4"/>
  <c r="B13" i="4"/>
  <c r="J5" i="4"/>
  <c r="E8" i="4" s="1"/>
  <c r="E17" i="4" s="1"/>
  <c r="E7" i="4"/>
  <c r="E5" i="4"/>
  <c r="E4" i="4"/>
  <c r="C17" i="5" l="1"/>
  <c r="B17" i="5"/>
  <c r="E23" i="4"/>
  <c r="E24" i="4" s="1"/>
  <c r="B1" i="6" s="1"/>
  <c r="T6" i="6"/>
  <c r="P10" i="6"/>
  <c r="P15" i="6" s="1"/>
  <c r="P16" i="6" s="1"/>
  <c r="E35" i="4"/>
  <c r="C10" i="3"/>
  <c r="D10" i="3"/>
  <c r="E10" i="3"/>
  <c r="F10" i="3"/>
  <c r="G10" i="3"/>
  <c r="H10" i="3"/>
  <c r="I10" i="3"/>
  <c r="J10" i="3"/>
  <c r="K10" i="3"/>
  <c r="B10" i="3"/>
  <c r="C9" i="3"/>
  <c r="D9" i="3"/>
  <c r="E9" i="3"/>
  <c r="F9" i="3"/>
  <c r="G9" i="3"/>
  <c r="H9" i="3"/>
  <c r="I9" i="3"/>
  <c r="J9" i="3"/>
  <c r="K9" i="3"/>
  <c r="B9" i="3"/>
  <c r="C8" i="3"/>
  <c r="D8" i="3"/>
  <c r="E8" i="3"/>
  <c r="F8" i="3"/>
  <c r="G8" i="3"/>
  <c r="H8" i="3"/>
  <c r="I8" i="3"/>
  <c r="J8" i="3"/>
  <c r="K8" i="3"/>
  <c r="B8" i="3"/>
  <c r="B7" i="3"/>
  <c r="C7" i="3"/>
  <c r="D7" i="3"/>
  <c r="E7" i="3"/>
  <c r="E12" i="3" s="1"/>
  <c r="F7" i="3"/>
  <c r="G7" i="3"/>
  <c r="H7" i="3"/>
  <c r="I7" i="3"/>
  <c r="J7" i="3"/>
  <c r="K7" i="3"/>
  <c r="C13" i="3" l="1"/>
  <c r="F12" i="3"/>
  <c r="F13" i="3"/>
  <c r="K13" i="3"/>
  <c r="G13" i="3"/>
  <c r="B13" i="3"/>
  <c r="I14" i="3"/>
  <c r="E14" i="3"/>
  <c r="I12" i="3"/>
  <c r="B12" i="3"/>
  <c r="B18" i="5"/>
  <c r="B6" i="4" s="1"/>
  <c r="E6" i="4" s="1"/>
  <c r="E9" i="4" s="1"/>
  <c r="J14" i="3"/>
  <c r="H14" i="3"/>
  <c r="K12" i="3"/>
  <c r="C12" i="3"/>
  <c r="E13" i="3"/>
  <c r="G14" i="3"/>
  <c r="J12" i="3"/>
  <c r="F14" i="3"/>
  <c r="J13" i="3"/>
  <c r="B14" i="3"/>
  <c r="D12" i="3"/>
  <c r="G12" i="3"/>
  <c r="I13" i="3"/>
  <c r="K14" i="3"/>
  <c r="C14" i="3"/>
  <c r="H13" i="3"/>
  <c r="D13" i="3"/>
  <c r="H12" i="3"/>
  <c r="D14" i="3"/>
  <c r="M13" i="3" l="1"/>
  <c r="M14" i="3"/>
  <c r="M12" i="3"/>
  <c r="E32" i="4"/>
  <c r="B32" i="4"/>
  <c r="B14" i="4"/>
  <c r="E14" i="4"/>
  <c r="F7" i="2"/>
  <c r="H7" i="2" s="1"/>
  <c r="B13" i="2"/>
  <c r="C13" i="2"/>
  <c r="D13" i="2"/>
  <c r="E13" i="2"/>
  <c r="F13" i="2"/>
  <c r="G13" i="2"/>
  <c r="H13" i="2"/>
  <c r="I13" i="2"/>
  <c r="J13" i="2"/>
  <c r="K13" i="2"/>
  <c r="L13" i="2"/>
  <c r="B14" i="2"/>
  <c r="C14" i="2" s="1"/>
  <c r="F14" i="2"/>
  <c r="G14" i="2"/>
  <c r="H14" i="2"/>
  <c r="I14" i="2"/>
  <c r="J14" i="2"/>
  <c r="J15" i="2" s="1"/>
  <c r="K14" i="2"/>
  <c r="G8" i="2"/>
  <c r="F8" i="2"/>
  <c r="G7" i="2"/>
  <c r="B4" i="2"/>
  <c r="B8" i="2" s="1"/>
  <c r="H8" i="2" l="1"/>
  <c r="H9" i="2" s="1"/>
  <c r="L14" i="2"/>
  <c r="L15" i="2" s="1"/>
  <c r="G15" i="2"/>
  <c r="F15" i="2"/>
  <c r="I15" i="2"/>
  <c r="C15" i="2"/>
  <c r="K15" i="2"/>
  <c r="H15" i="2"/>
  <c r="B15" i="2"/>
  <c r="D14" i="2"/>
  <c r="H6" i="1"/>
  <c r="B18" i="6" s="1"/>
  <c r="D15" i="2" l="1"/>
  <c r="E14" i="2"/>
  <c r="E15" i="2" l="1"/>
  <c r="B18" i="2" s="1"/>
  <c r="B27" i="6" s="1"/>
  <c r="C27" i="6" l="1"/>
  <c r="B13" i="6" l="1"/>
  <c r="C13" i="6"/>
  <c r="D13" i="6"/>
  <c r="E13" i="6"/>
  <c r="F13" i="6"/>
  <c r="P14" i="6"/>
  <c r="T7" i="6" s="1"/>
  <c r="P18" i="6" s="1"/>
  <c r="P20" i="6" s="1"/>
  <c r="B8" i="4"/>
  <c r="E34" i="4" s="1"/>
  <c r="B16" i="4"/>
  <c r="B27" i="4" l="1"/>
  <c r="B34" i="4" s="1"/>
  <c r="K14" i="6"/>
  <c r="L13" i="6"/>
  <c r="L14" i="6" s="1"/>
  <c r="B14" i="6"/>
  <c r="I14" i="6"/>
  <c r="E14" i="6"/>
  <c r="C14" i="6"/>
  <c r="F14" i="6"/>
  <c r="J14" i="6"/>
  <c r="H14" i="6"/>
  <c r="D14" i="6"/>
  <c r="G14" i="6"/>
  <c r="B22" i="4"/>
  <c r="B24" i="4" s="1"/>
  <c r="B2" i="6" s="1"/>
  <c r="B5" i="6" s="1"/>
  <c r="B9" i="4"/>
  <c r="E16" i="4"/>
  <c r="E12" i="4"/>
  <c r="E27" i="4"/>
  <c r="E36" i="4" s="1"/>
  <c r="B17" i="6" l="1"/>
  <c r="B19" i="6" s="1"/>
  <c r="B21" i="6" s="1"/>
  <c r="C21" i="6" s="1"/>
  <c r="C25" i="6" s="1"/>
  <c r="E18" i="4"/>
  <c r="B25" i="6" l="1"/>
  <c r="B28" i="6" s="1"/>
  <c r="G26" i="6" s="1"/>
  <c r="C28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5DA324D-C689-4ECA-8F01-B87DFC2A66AF}" name="Connection" type="4" refreshedVersion="6" background="1" saveData="1">
    <webPr sourceData="1" parsePre="1" consecutive="1" xl2000="1" url="https://markets.businessinsider.com/bonds/finder?borrower=41909&amp;maturity=&amp;yield=&amp;bondtype=&amp;coupon=&amp;currency=&amp;rating=&amp;country=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<sst xmlns="http://schemas.openxmlformats.org/spreadsheetml/2006/main" count="467" uniqueCount="321">
  <si>
    <t>EPS</t>
  </si>
  <si>
    <t>EPS*Forward P/E</t>
  </si>
  <si>
    <t>2020 Forward P/E Multiple</t>
  </si>
  <si>
    <t>Price Target</t>
  </si>
  <si>
    <t>Multiple</t>
  </si>
  <si>
    <t>Formula</t>
  </si>
  <si>
    <t>2020 Mean USD*Forward P/E</t>
  </si>
  <si>
    <t>2019 Forward P/E Multiple</t>
  </si>
  <si>
    <t>2019 Mean USD*Forward P/E</t>
  </si>
  <si>
    <t>P/B Multiple</t>
  </si>
  <si>
    <t>(P/B*Total Stockholder's Equity)/Number of Shares Outstanding</t>
  </si>
  <si>
    <t>P/S Multiple</t>
  </si>
  <si>
    <t>(P/S*Revenue)/Number of Shares Outstanding</t>
  </si>
  <si>
    <t>EV/EBITDA Multiple</t>
  </si>
  <si>
    <t>((EV/EBITDA*EBITDA)-Net Debt)/Number of Shares Outstanding</t>
  </si>
  <si>
    <t>Net Debt</t>
  </si>
  <si>
    <t>Long-Term Debt</t>
  </si>
  <si>
    <t>(-) Cash</t>
  </si>
  <si>
    <t>(-) Short-Term Investments</t>
  </si>
  <si>
    <t>EV/FCF Multiple</t>
  </si>
  <si>
    <t>((EV/FCF*FCF)-Net Debt)/Number of Shares Outstanding</t>
  </si>
  <si>
    <t>Dividend Discount Model</t>
  </si>
  <si>
    <t>TTM Dividend</t>
  </si>
  <si>
    <t>Cost of Equity</t>
  </si>
  <si>
    <t>Ke</t>
  </si>
  <si>
    <t>Beta</t>
  </si>
  <si>
    <t>Sources</t>
  </si>
  <si>
    <t>http://pages.stern.nyu.edu/~adamodar/</t>
  </si>
  <si>
    <t>https://finance.yahoo.com/quote/UNP/</t>
  </si>
  <si>
    <t>Risk-Free Rate (Rf)</t>
  </si>
  <si>
    <t>Equity Risk Premium (ERP)</t>
  </si>
  <si>
    <t>https://www.cnbc.com/quotes/?symbol=US10Y</t>
  </si>
  <si>
    <t>Years of High Growth</t>
  </si>
  <si>
    <t>Terminal Growth Rate</t>
  </si>
  <si>
    <t>High Growth Rate</t>
  </si>
  <si>
    <t>2018 Hike</t>
  </si>
  <si>
    <t>2019 Hike</t>
  </si>
  <si>
    <t>Historical Dividend Raises</t>
  </si>
  <si>
    <t>Cost of Equity - Terminal Growth</t>
  </si>
  <si>
    <t>Constant High Growth</t>
  </si>
  <si>
    <t>Projected Years</t>
  </si>
  <si>
    <t>Projected Growth</t>
  </si>
  <si>
    <t>2019-2020</t>
  </si>
  <si>
    <t>2020-2021</t>
  </si>
  <si>
    <t>2021-2022</t>
  </si>
  <si>
    <t>Projected Dividends</t>
  </si>
  <si>
    <t>Discounted Dividends</t>
  </si>
  <si>
    <t>Terminal</t>
  </si>
  <si>
    <t>Price Per Share</t>
  </si>
  <si>
    <t>Payout Ratio</t>
  </si>
  <si>
    <t>Years</t>
  </si>
  <si>
    <t>ROA</t>
  </si>
  <si>
    <t>ROE</t>
  </si>
  <si>
    <t>ROIC</t>
  </si>
  <si>
    <t>Source: Morningstar Direct (Key Ratios)</t>
  </si>
  <si>
    <t>Source: https://www.morningstar.com/stocks/xnys/unp/performance</t>
  </si>
  <si>
    <t>Plowback Ratio</t>
  </si>
  <si>
    <t>Internal Growth Rate</t>
  </si>
  <si>
    <t>Average</t>
  </si>
  <si>
    <t>Sustainable Growth Rate</t>
  </si>
  <si>
    <t>Return on Invested Capital</t>
  </si>
  <si>
    <t>Compound Annual Growth Rate</t>
  </si>
  <si>
    <t>Source: Morningstar Direct -&gt; Cash Flows -&gt; Free Cash Flow</t>
  </si>
  <si>
    <t>FCFF</t>
  </si>
  <si>
    <t>FCFE</t>
  </si>
  <si>
    <t>NI</t>
  </si>
  <si>
    <t>Net Income</t>
  </si>
  <si>
    <t>Depr &amp; Amort</t>
  </si>
  <si>
    <t>Change WC</t>
  </si>
  <si>
    <t>CapEx</t>
  </si>
  <si>
    <t>Interest Expense (1-t)</t>
  </si>
  <si>
    <t>Taxes</t>
  </si>
  <si>
    <t>Net Borrowing</t>
  </si>
  <si>
    <t>Debt Issued</t>
  </si>
  <si>
    <t>(Debt Repayment)</t>
  </si>
  <si>
    <t>EBIT</t>
  </si>
  <si>
    <t>Change in WC</t>
  </si>
  <si>
    <t>Interest Expense</t>
  </si>
  <si>
    <t>OCF</t>
  </si>
  <si>
    <t>EBIT Revised</t>
  </si>
  <si>
    <t>Operating Income (1-t)</t>
  </si>
  <si>
    <t>Stock Compensation</t>
  </si>
  <si>
    <t>Other Non-Cash Items</t>
  </si>
  <si>
    <t>Deferred Income Tax</t>
  </si>
  <si>
    <t>Non-Cash Working Capital Calculation</t>
  </si>
  <si>
    <t>Receivables</t>
  </si>
  <si>
    <t>Inventories</t>
  </si>
  <si>
    <t>Other current assets</t>
  </si>
  <si>
    <t>Total current assets</t>
  </si>
  <si>
    <t>Current Assets</t>
  </si>
  <si>
    <t>Current Liabilities</t>
  </si>
  <si>
    <t>Accounts payable</t>
  </si>
  <si>
    <t>Taxes payable</t>
  </si>
  <si>
    <t>Accrued liabilities</t>
  </si>
  <si>
    <t>Other current liabilities</t>
  </si>
  <si>
    <t>Total current liabilities</t>
  </si>
  <si>
    <t>Working capital</t>
  </si>
  <si>
    <t>Change in working capital</t>
  </si>
  <si>
    <t>Debt Analysis</t>
  </si>
  <si>
    <t>Maturity Year</t>
  </si>
  <si>
    <t>Value</t>
  </si>
  <si>
    <t>Rate</t>
  </si>
  <si>
    <t>Book Value of Debt</t>
  </si>
  <si>
    <t>Weighted-Average Cost of Debt</t>
  </si>
  <si>
    <t>After-Tax Cost of Debt</t>
  </si>
  <si>
    <t>Average Beta</t>
  </si>
  <si>
    <t>WACC Calculations</t>
  </si>
  <si>
    <t>MRP or ERP</t>
  </si>
  <si>
    <t>MV of Debt</t>
  </si>
  <si>
    <t>Shares Outstanding</t>
  </si>
  <si>
    <t>Share Price</t>
  </si>
  <si>
    <t>Market Cap</t>
  </si>
  <si>
    <t>Tax Rate</t>
  </si>
  <si>
    <t>Percent Equity</t>
  </si>
  <si>
    <t>Percent Debt</t>
  </si>
  <si>
    <t>Risk-Free Rate</t>
  </si>
  <si>
    <t>Cost of Debt</t>
  </si>
  <si>
    <t xml:space="preserve">WACC </t>
  </si>
  <si>
    <t>Type of Valuation</t>
  </si>
  <si>
    <t>Initial Amount</t>
  </si>
  <si>
    <t>Years of High/Low Growth</t>
  </si>
  <si>
    <t>Enterprise Value</t>
  </si>
  <si>
    <t>Equity Value</t>
  </si>
  <si>
    <t>Model</t>
  </si>
  <si>
    <t>Intrinsic Value</t>
  </si>
  <si>
    <t>Upside</t>
  </si>
  <si>
    <t>Weight</t>
  </si>
  <si>
    <t>DCF</t>
  </si>
  <si>
    <t>DDM</t>
  </si>
  <si>
    <t>Multiples</t>
  </si>
  <si>
    <t>Projected FCF</t>
  </si>
  <si>
    <t>Discounted FCF</t>
  </si>
  <si>
    <t>Growth Rate</t>
  </si>
  <si>
    <t>Discount Rate</t>
  </si>
  <si>
    <t>Sensitivity Table</t>
  </si>
  <si>
    <t>=</t>
  </si>
  <si>
    <t>TTM</t>
  </si>
  <si>
    <t>Revenue</t>
  </si>
  <si>
    <t>Cost of revenue</t>
  </si>
  <si>
    <t>Gross profit</t>
  </si>
  <si>
    <t>Operating expenses</t>
  </si>
  <si>
    <t>Research and development</t>
  </si>
  <si>
    <t>Sales, General and administrative</t>
  </si>
  <si>
    <t>Restructuring, merger and acquisition</t>
  </si>
  <si>
    <t>Other operating expenses</t>
  </si>
  <si>
    <t>Total operating expenses</t>
  </si>
  <si>
    <t>Operating income</t>
  </si>
  <si>
    <t>Other income (expense)</t>
  </si>
  <si>
    <t>Income before taxes</t>
  </si>
  <si>
    <t>Provision for income taxes</t>
  </si>
  <si>
    <t>Net income from continuing operations</t>
  </si>
  <si>
    <t>Net income</t>
  </si>
  <si>
    <t>Net income available to common shareholders</t>
  </si>
  <si>
    <t>Earnings per share</t>
  </si>
  <si>
    <t>Basic</t>
  </si>
  <si>
    <t>Diluted</t>
  </si>
  <si>
    <t>Weighted average shares outstanding</t>
  </si>
  <si>
    <t>EBITDA</t>
  </si>
  <si>
    <t>Assets</t>
  </si>
  <si>
    <t>Current assets</t>
  </si>
  <si>
    <t>Cash</t>
  </si>
  <si>
    <t>Cash and cash equivalents</t>
  </si>
  <si>
    <t>Short-term investments</t>
  </si>
  <si>
    <t>Total cash</t>
  </si>
  <si>
    <t>Deferred income taxes</t>
  </si>
  <si>
    <t>Non-current assets</t>
  </si>
  <si>
    <t>Property, plant and equipment</t>
  </si>
  <si>
    <t>Gross property, plant and equipment</t>
  </si>
  <si>
    <t>Accumulated Depreciation</t>
  </si>
  <si>
    <t>Net property, plant and equipment</t>
  </si>
  <si>
    <t>Equity and other investments</t>
  </si>
  <si>
    <t>Goodwill</t>
  </si>
  <si>
    <t>Intangible assets</t>
  </si>
  <si>
    <t>Other long-term assets</t>
  </si>
  <si>
    <t>Total non-current assets</t>
  </si>
  <si>
    <t>Total assets</t>
  </si>
  <si>
    <t>Liabilities and stockholders' equity</t>
  </si>
  <si>
    <t>Liabilities</t>
  </si>
  <si>
    <t>Current liabilities</t>
  </si>
  <si>
    <t>Short-term debt</t>
  </si>
  <si>
    <t>Deferred revenues</t>
  </si>
  <si>
    <t>Non-current liabilities</t>
  </si>
  <si>
    <t>Long-term debt</t>
  </si>
  <si>
    <t>Capital leases</t>
  </si>
  <si>
    <t>Deferred taxes liabilities</t>
  </si>
  <si>
    <t>Other long-term liabilities</t>
  </si>
  <si>
    <t>Total non-current liabilities</t>
  </si>
  <si>
    <t>Total liabilities</t>
  </si>
  <si>
    <t>Stockholders' equity</t>
  </si>
  <si>
    <t>Common stock</t>
  </si>
  <si>
    <t>Retained earnings</t>
  </si>
  <si>
    <t>Accumulated other comprehensive income</t>
  </si>
  <si>
    <t>Total stockholders' equity</t>
  </si>
  <si>
    <t>Total liabilities and stockholders' equity</t>
  </si>
  <si>
    <t>Fiscal year ends in June. USD in millions except per share data.</t>
  </si>
  <si>
    <t>Cash Flows From Operating Activities</t>
  </si>
  <si>
    <t>Depreciation &amp; amortization</t>
  </si>
  <si>
    <t>Investment/asset impairment charges</t>
  </si>
  <si>
    <t>Investments losses (gains)</t>
  </si>
  <si>
    <t>Stock based compensation</t>
  </si>
  <si>
    <t>Accounts receivable</t>
  </si>
  <si>
    <t>Inventory</t>
  </si>
  <si>
    <t>Other working capital</t>
  </si>
  <si>
    <t>Other non-cash items</t>
  </si>
  <si>
    <t>Net cash provided by operating activities</t>
  </si>
  <si>
    <t>Cash Flows From Investing Activities</t>
  </si>
  <si>
    <t>Investments in property, plant, and equipment</t>
  </si>
  <si>
    <t>Acquisitions, net</t>
  </si>
  <si>
    <t>Purchases of investments</t>
  </si>
  <si>
    <t>Sales/Maturities of investments</t>
  </si>
  <si>
    <t>Other investing activities</t>
  </si>
  <si>
    <t>Net cash used for investing activities</t>
  </si>
  <si>
    <t>Cash Flows From Financing Activities</t>
  </si>
  <si>
    <t>Debt issued</t>
  </si>
  <si>
    <t>Debt repayment</t>
  </si>
  <si>
    <t>Common stock issued</t>
  </si>
  <si>
    <t>Common stock repurchased</t>
  </si>
  <si>
    <t>Excess tax benefit from stock based compensation</t>
  </si>
  <si>
    <t>Dividend paid</t>
  </si>
  <si>
    <t>Other financing activities</t>
  </si>
  <si>
    <t>Net cash provided by (used for) financing activities</t>
  </si>
  <si>
    <t>Effect of exchange rate changes</t>
  </si>
  <si>
    <t>Net change in cash</t>
  </si>
  <si>
    <t>Cash at beginning of period</t>
  </si>
  <si>
    <t>Cash at end of period</t>
  </si>
  <si>
    <t>Free Cash Flow</t>
  </si>
  <si>
    <t>Operating cash flow</t>
  </si>
  <si>
    <t>Capital expenditure</t>
  </si>
  <si>
    <t>Free cash flow</t>
  </si>
  <si>
    <t>Financials</t>
  </si>
  <si>
    <t>Revenue USD Mil</t>
  </si>
  <si>
    <t>Gross Margin %</t>
  </si>
  <si>
    <t>Operating Income USD Mil</t>
  </si>
  <si>
    <t>Operating Margin %</t>
  </si>
  <si>
    <t>Net Income USD Mil</t>
  </si>
  <si>
    <t>Earnings Per Share USD</t>
  </si>
  <si>
    <t>Dividends USD</t>
  </si>
  <si>
    <t>Payout Ratio % *</t>
  </si>
  <si>
    <t>Shares Mil</t>
  </si>
  <si>
    <t>Book Value Per Share * USD</t>
  </si>
  <si>
    <t>Operating Cash Flow USD Mil</t>
  </si>
  <si>
    <t>Cap Spending USD Mil</t>
  </si>
  <si>
    <t>Free Cash Flow USD Mil</t>
  </si>
  <si>
    <t>Free Cash Flow Per Share * USD</t>
  </si>
  <si>
    <t>Working Capital USD Mil</t>
  </si>
  <si>
    <t>Key Ratios -&gt; Profitability</t>
  </si>
  <si>
    <t>Margins % of Sales</t>
  </si>
  <si>
    <t>COGS</t>
  </si>
  <si>
    <t>Gross Margin</t>
  </si>
  <si>
    <t>SG&amp;A</t>
  </si>
  <si>
    <t>R&amp;D</t>
  </si>
  <si>
    <t>Other</t>
  </si>
  <si>
    <t>Operating Margin</t>
  </si>
  <si>
    <t>Net Int Inc &amp; Other</t>
  </si>
  <si>
    <t>EBT Margin</t>
  </si>
  <si>
    <t>Profitability</t>
  </si>
  <si>
    <t>Tax Rate %</t>
  </si>
  <si>
    <t>Net Margin %</t>
  </si>
  <si>
    <t>Asset Turnover (Average)</t>
  </si>
  <si>
    <t>Return on Assets %</t>
  </si>
  <si>
    <t>Financial Leverage (Average)</t>
  </si>
  <si>
    <t>Return on Equity %</t>
  </si>
  <si>
    <t>Return on Invested Capital %</t>
  </si>
  <si>
    <t>Interest Coverage</t>
  </si>
  <si>
    <t>Key Ratios -&gt; Growth</t>
  </si>
  <si>
    <t>Latest Qtr</t>
  </si>
  <si>
    <t>Revenue %</t>
  </si>
  <si>
    <t>Year over Year</t>
  </si>
  <si>
    <t>3-Year Average</t>
  </si>
  <si>
    <t>5-Year Average</t>
  </si>
  <si>
    <t>10-Year Average</t>
  </si>
  <si>
    <t>Operating Income %</t>
  </si>
  <si>
    <t>Net Income %</t>
  </si>
  <si>
    <t>EPS %</t>
  </si>
  <si>
    <t>Key Ratios -&gt; Cash Flow</t>
  </si>
  <si>
    <t>Cash Flow Ratios</t>
  </si>
  <si>
    <t>Operating Cash Flow Growth % YOY</t>
  </si>
  <si>
    <t>Free Cash Flow Growth % YOY</t>
  </si>
  <si>
    <t>Cap Ex as a % of Sales</t>
  </si>
  <si>
    <t>Free Cash Flow/Sales %</t>
  </si>
  <si>
    <t>Free Cash Flow/Net Income</t>
  </si>
  <si>
    <t>Key Ratios -&gt; Financial Health</t>
  </si>
  <si>
    <t>Balance Sheet Items (in %)</t>
  </si>
  <si>
    <t>Cash &amp; Short-Term Investments</t>
  </si>
  <si>
    <t>Accounts Receivable</t>
  </si>
  <si>
    <t>Other Current Assets</t>
  </si>
  <si>
    <t>Total Current Assets</t>
  </si>
  <si>
    <t>Net PP&amp;E</t>
  </si>
  <si>
    <t>Intangibles</t>
  </si>
  <si>
    <t>Other Long-Term Assets</t>
  </si>
  <si>
    <t>Total Assets</t>
  </si>
  <si>
    <t>Accounts Payable</t>
  </si>
  <si>
    <t>Short-Term Debt</t>
  </si>
  <si>
    <t>Taxes Payable</t>
  </si>
  <si>
    <t>Accrued Liabilities</t>
  </si>
  <si>
    <t>Other Short-Term Liabilities</t>
  </si>
  <si>
    <t>Total Current Liabilities</t>
  </si>
  <si>
    <t>Other Long-Term Liabilities</t>
  </si>
  <si>
    <t>Total Liabilities</t>
  </si>
  <si>
    <t>Total Stockholders' Equity</t>
  </si>
  <si>
    <t>Total Liabilities &amp; Equity</t>
  </si>
  <si>
    <t>Liquidity/Financial Health</t>
  </si>
  <si>
    <t>Current Ratio</t>
  </si>
  <si>
    <t>Quick Ratio</t>
  </si>
  <si>
    <t>Financial Leverage</t>
  </si>
  <si>
    <t>Debt/Equity</t>
  </si>
  <si>
    <t>Key Ratios -&gt; Efficiency Ratios</t>
  </si>
  <si>
    <t>Efficiency</t>
  </si>
  <si>
    <t>Days Sales Outstanding</t>
  </si>
  <si>
    <t>Days Inventory</t>
  </si>
  <si>
    <t>Payables Period</t>
  </si>
  <si>
    <t>Cash Conversion Cycle</t>
  </si>
  <si>
    <t>Receivables Turnover</t>
  </si>
  <si>
    <t>Inventory Turnover</t>
  </si>
  <si>
    <t>Fixed Assets Turnover</t>
  </si>
  <si>
    <t>Asset Turnover</t>
  </si>
  <si>
    <t xml:space="preserve">Coupon </t>
  </si>
  <si>
    <t xml:space="preserve">Maturity Date </t>
  </si>
  <si>
    <t>Price</t>
  </si>
  <si>
    <t>Deffered Revenue</t>
  </si>
  <si>
    <t xml:space="preserve">Chosen Growth Rate: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</si>
</sst>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%"/>
    <numFmt numFmtId="166" formatCode="0.0%"/>
    <numFmt numFmtId="167" formatCode="mm/dd/yy;@"/>
    <numFmt numFmtId="168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theme="1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4" tint="0.79998168889431442"/>
        <bgColor indexed="65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7">
    <xf numFmtId="0" fontId="0" fillId="0" borderId="0" xfId="0"/>
    <xf numFmtId="44" fontId="0" fillId="0" borderId="0" xfId="1" applyFont="1"/>
    <xf numFmtId="0" fontId="2" fillId="0" borderId="0" xfId="0" applyFont="1"/>
    <xf numFmtId="0" fontId="2" fillId="0" borderId="0" xfId="0" applyFont="1" applyAlignment="1">
      <alignment horizontal="center" vertical="center"/>
    </xf>
    <xf numFmtId="164" fontId="0" fillId="0" borderId="0" xfId="1" applyNumberFormat="1" applyFont="1"/>
    <xf numFmtId="164" fontId="0" fillId="0" borderId="1" xfId="0" applyNumberFormat="1" applyBorder="1"/>
    <xf numFmtId="2" fontId="0" fillId="0" borderId="0" xfId="0" applyNumberFormat="1"/>
    <xf numFmtId="44" fontId="0" fillId="2" borderId="0" xfId="1" applyFont="1" applyFill="1"/>
    <xf numFmtId="10" fontId="0" fillId="0" borderId="0" xfId="0" applyNumberFormat="1"/>
    <xf numFmtId="0" fontId="3" fillId="0" borderId="0" xfId="3"/>
    <xf numFmtId="165" fontId="0" fillId="0" borderId="0" xfId="0" applyNumberFormat="1"/>
    <xf numFmtId="10" fontId="0" fillId="0" borderId="0" xfId="2" applyNumberFormat="1" applyFont="1"/>
    <xf numFmtId="0" fontId="0" fillId="2" borderId="0" xfId="0" applyFill="1"/>
    <xf numFmtId="10" fontId="0" fillId="2" borderId="0" xfId="0" applyNumberFormat="1" applyFill="1"/>
    <xf numFmtId="44" fontId="2" fillId="0" borderId="0" xfId="0" applyNumberFormat="1" applyFon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10" fontId="0" fillId="0" borderId="2" xfId="0" applyNumberFormat="1" applyBorder="1" applyAlignment="1">
      <alignment horizontal="center"/>
    </xf>
    <xf numFmtId="10" fontId="0" fillId="2" borderId="2" xfId="2" applyNumberFormat="1" applyFont="1" applyFill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" fontId="0" fillId="0" borderId="0" xfId="0" applyNumberFormat="1"/>
    <xf numFmtId="1" fontId="0" fillId="2" borderId="0" xfId="0" applyNumberFormat="1" applyFill="1"/>
    <xf numFmtId="166" fontId="0" fillId="2" borderId="0" xfId="0" applyNumberFormat="1" applyFill="1"/>
    <xf numFmtId="0" fontId="2" fillId="0" borderId="3" xfId="0" applyFont="1" applyBorder="1"/>
    <xf numFmtId="1" fontId="2" fillId="0" borderId="3" xfId="0" applyNumberFormat="1" applyFont="1" applyBorder="1"/>
    <xf numFmtId="0" fontId="0" fillId="0" borderId="3" xfId="0" applyBorder="1"/>
    <xf numFmtId="167" fontId="2" fillId="0" borderId="0" xfId="0" applyNumberFormat="1" applyFont="1"/>
    <xf numFmtId="0" fontId="0" fillId="0" borderId="4" xfId="0" applyBorder="1"/>
    <xf numFmtId="8" fontId="0" fillId="0" borderId="0" xfId="0" applyNumberFormat="1"/>
    <xf numFmtId="0" fontId="0" fillId="0" borderId="5" xfId="0" applyBorder="1"/>
    <xf numFmtId="0" fontId="0" fillId="0" borderId="0" xfId="0" applyAlignment="1">
      <alignment wrapText="1"/>
    </xf>
    <xf numFmtId="0" fontId="2" fillId="6" borderId="6" xfId="0" applyFont="1" applyFill="1" applyBorder="1"/>
    <xf numFmtId="0" fontId="4" fillId="0" borderId="2" xfId="4" applyBorder="1" applyAlignment="1">
      <alignment horizontal="center"/>
    </xf>
    <xf numFmtId="0" fontId="0" fillId="0" borderId="2" xfId="0" applyBorder="1"/>
    <xf numFmtId="0" fontId="2" fillId="0" borderId="8" xfId="0" applyFont="1" applyBorder="1"/>
    <xf numFmtId="0" fontId="2" fillId="0" borderId="5" xfId="0" applyFont="1" applyBorder="1"/>
    <xf numFmtId="2" fontId="0" fillId="2" borderId="0" xfId="0" applyNumberFormat="1" applyFill="1"/>
    <xf numFmtId="0" fontId="2" fillId="0" borderId="4" xfId="0" applyFont="1" applyBorder="1"/>
    <xf numFmtId="164" fontId="0" fillId="0" borderId="0" xfId="0" applyNumberFormat="1"/>
    <xf numFmtId="166" fontId="0" fillId="2" borderId="0" xfId="2" applyNumberFormat="1" applyFont="1" applyFill="1"/>
    <xf numFmtId="44" fontId="0" fillId="0" borderId="0" xfId="0" applyNumberFormat="1"/>
    <xf numFmtId="44" fontId="2" fillId="6" borderId="7" xfId="0" applyNumberFormat="1" applyFont="1" applyFill="1" applyBorder="1"/>
    <xf numFmtId="10" fontId="0" fillId="4" borderId="0" xfId="2" applyNumberFormat="1" applyFont="1" applyFill="1"/>
    <xf numFmtId="44" fontId="0" fillId="0" borderId="2" xfId="0" applyNumberFormat="1" applyBorder="1"/>
    <xf numFmtId="10" fontId="0" fillId="0" borderId="2" xfId="0" applyNumberFormat="1" applyBorder="1"/>
    <xf numFmtId="10" fontId="0" fillId="0" borderId="2" xfId="2" applyNumberFormat="1" applyFont="1" applyBorder="1"/>
    <xf numFmtId="9" fontId="0" fillId="0" borderId="2" xfId="0" applyNumberFormat="1" applyBorder="1" applyAlignment="1">
      <alignment horizontal="center"/>
    </xf>
    <xf numFmtId="9" fontId="2" fillId="3" borderId="8" xfId="0" applyNumberFormat="1" applyFont="1" applyFill="1" applyBorder="1" applyAlignment="1">
      <alignment horizontal="center"/>
    </xf>
    <xf numFmtId="44" fontId="2" fillId="5" borderId="8" xfId="0" applyNumberFormat="1" applyFont="1" applyFill="1" applyBorder="1"/>
    <xf numFmtId="10" fontId="2" fillId="4" borderId="8" xfId="2" applyNumberFormat="1" applyFont="1" applyFill="1" applyBorder="1"/>
    <xf numFmtId="10" fontId="0" fillId="0" borderId="0" xfId="2" applyNumberFormat="1" applyFont="1" applyFill="1"/>
    <xf numFmtId="168" fontId="0" fillId="7" borderId="0" xfId="0" applyNumberFormat="1" applyFill="1"/>
    <xf numFmtId="0" fontId="2" fillId="0" borderId="0" xfId="0" applyFont="1" applyAlignment="1">
      <alignment horizontal="center"/>
    </xf>
    <xf numFmtId="166" fontId="5" fillId="0" borderId="0" xfId="0" applyNumberFormat="1" applyFont="1"/>
    <xf numFmtId="2" fontId="5" fillId="0" borderId="0" xfId="1" applyNumberFormat="1" applyFont="1"/>
    <xf numFmtId="0" fontId="2" fillId="0" borderId="4" xfId="0" applyFont="1" applyBorder="1" applyAlignment="1">
      <alignment horizontal="center"/>
    </xf>
    <xf numFmtId="10" fontId="2" fillId="0" borderId="0" xfId="0" applyNumberFormat="1" applyFont="1"/>
    <xf numFmtId="2" fontId="2" fillId="0" borderId="1" xfId="0" applyNumberFormat="1" applyFont="1" applyBorder="1"/>
    <xf numFmtId="3" fontId="0" fillId="0" borderId="0" xfId="0" applyNumberFormat="1"/>
    <xf numFmtId="10" fontId="0" fillId="8" borderId="0" xfId="0" applyNumberFormat="1" applyFill="1"/>
    <xf numFmtId="0" fontId="0" fillId="8" borderId="0" xfId="0" applyNumberFormat="1" applyFill="1"/>
    <xf numFmtId="0" fontId="0" fillId="0" borderId="4" xfId="0" applyBorder="1" applyAlignment="1">
      <alignment horizontal="center"/>
    </xf>
    <xf numFmtId="9" fontId="2" fillId="0" borderId="0" xfId="2" applyFont="1" applyFill="1" applyAlignment="1">
      <alignment horizontal="center"/>
    </xf>
    <xf numFmtId="0" fontId="0" fillId="0" borderId="9" xfId="0" applyBorder="1" applyAlignment="1">
      <alignment horizontal="right" vertical="center" textRotation="90"/>
    </xf>
    <xf numFmtId="0" fontId="2" fillId="0" borderId="0" xfId="0" applyFont="1" applyAlignment="1">
      <alignment horizontal="center"/>
    </xf>
    <xf numFmtId="10" fontId="1" fillId="9" borderId="0" xfId="5" applyNumberFormat="1"/>
  </cellXfs>
  <cellStyles count="6">
    <cellStyle name="20% - Accent1" xfId="5" builtinId="30"/>
    <cellStyle name="Currency" xfId="1" builtinId="4"/>
    <cellStyle name="Heading 4" xfId="4" builtinId="19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growShrinkType="overwriteClear" connectionId="1" xr16:uid="{F93FC3D9-9401-4304-9BFE-EF4B28AD894A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nbc.com/quotes/?symbol=US10Y" TargetMode="External"/><Relationship Id="rId2" Type="http://schemas.openxmlformats.org/officeDocument/2006/relationships/hyperlink" Target="https://finance.yahoo.com/quote/UNP/" TargetMode="External"/><Relationship Id="rId1" Type="http://schemas.openxmlformats.org/officeDocument/2006/relationships/hyperlink" Target="http://pages.stern.nyu.edu/~adamodar/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V34"/>
  <sheetViews>
    <sheetView tabSelected="1" workbookViewId="0">
      <selection activeCell="K6" sqref="K6"/>
    </sheetView>
  </sheetViews>
  <sheetFormatPr defaultRowHeight="14.4" x14ac:dyDescent="0.3"/>
  <cols>
    <col min="1" max="1" width="26" customWidth="1"/>
    <col min="2" max="11" width="13.33203125" customWidth="1"/>
    <col min="12" max="14" width="13.44140625" customWidth="1"/>
    <col min="15" max="15" width="27" customWidth="1"/>
    <col min="16" max="16" width="13.5546875" customWidth="1"/>
    <col min="18" max="19" width="13.109375" customWidth="1"/>
    <col min="20" max="20" width="10" customWidth="1"/>
    <col min="21" max="21" width="10.109375" customWidth="1"/>
    <col min="22" max="22" width="16" customWidth="1"/>
  </cols>
  <sheetData>
    <row r="1" spans="1:22" x14ac:dyDescent="0.3">
      <c r="A1" s="2" t="s">
        <v>64</v>
      </c>
      <c r="B1" s="4">
        <f>'FCFF &amp; FCFE'!E24</f>
        <v>0</v>
      </c>
      <c r="O1" s="56" t="s">
        <v>25</v>
      </c>
    </row>
    <row r="2" spans="1:22" x14ac:dyDescent="0.3">
      <c r="A2" s="2" t="s">
        <v>63</v>
      </c>
      <c r="B2" s="4">
        <f>'FCFF &amp; FCFE'!B24</f>
        <v>0</v>
      </c>
      <c r="P2" s="37"/>
      <c r="S2" s="2" t="s">
        <v>98</v>
      </c>
    </row>
    <row r="3" spans="1:22" x14ac:dyDescent="0.3">
      <c r="F3" s="8"/>
      <c r="G3" s="29"/>
      <c r="P3" s="37"/>
      <c r="S3" s="36" t="s">
        <v>99</v>
      </c>
      <c r="T3" s="36" t="s">
        <v>100</v>
      </c>
      <c r="U3" s="36" t="s">
        <v>101</v>
      </c>
      <c r="V3" s="30" t="s">
        <v>77</v>
      </c>
    </row>
    <row r="4" spans="1:22" x14ac:dyDescent="0.3">
      <c r="A4" t="s">
        <v>118</v>
      </c>
      <c r="B4" s="12" t="s">
        <v>63</v>
      </c>
      <c r="P4" s="37"/>
      <c r="S4" s="61"/>
      <c r="T4" s="61"/>
      <c r="U4" s="60"/>
      <c r="V4" s="29">
        <f ca="1">-PV(U4,(S4-YEAR(NOW())),,((S4-YEAR(NOW()))*(T4*U4)))</f>
        <v>0</v>
      </c>
    </row>
    <row r="5" spans="1:22" ht="28.8" x14ac:dyDescent="0.3">
      <c r="A5" t="s">
        <v>119</v>
      </c>
      <c r="B5" s="4">
        <f>IF(B4="FCFF",B2,B1)</f>
        <v>0</v>
      </c>
      <c r="O5" s="2" t="s">
        <v>105</v>
      </c>
      <c r="P5" s="58" t="e">
        <f>AVERAGE(P2:P4)</f>
        <v>#DIV/0!</v>
      </c>
      <c r="S5" s="31" t="s">
        <v>102</v>
      </c>
      <c r="T5" s="4" t="e">
        <f>SUM(#REF!)</f>
        <v>#REF!</v>
      </c>
    </row>
    <row r="6" spans="1:22" ht="43.2" x14ac:dyDescent="0.3">
      <c r="A6" t="str">
        <f>IF(B4="FCFF", "WACC", "Cost of Equity")</f>
        <v>WACC</v>
      </c>
      <c r="B6" s="11" t="e">
        <f>IF(B4="FCFF",P20,P19)</f>
        <v>#REF!</v>
      </c>
      <c r="C6" s="8"/>
      <c r="S6" s="31" t="s">
        <v>103</v>
      </c>
      <c r="T6" s="11" t="e">
        <f>SUMPRODUCT(#REF!,#REF!)/T5</f>
        <v>#REF!</v>
      </c>
    </row>
    <row r="7" spans="1:22" ht="28.8" x14ac:dyDescent="0.3">
      <c r="A7" t="s">
        <v>120</v>
      </c>
      <c r="B7" s="12"/>
      <c r="O7" s="38" t="s">
        <v>106</v>
      </c>
      <c r="S7" s="31" t="s">
        <v>104</v>
      </c>
      <c r="T7" s="11" t="e">
        <f>T6*(1-P14)</f>
        <v>#REF!</v>
      </c>
    </row>
    <row r="8" spans="1:22" x14ac:dyDescent="0.3">
      <c r="A8" t="s">
        <v>33</v>
      </c>
      <c r="B8" s="66"/>
      <c r="O8" t="s">
        <v>25</v>
      </c>
      <c r="P8" s="6" t="e">
        <f>P5</f>
        <v>#DIV/0!</v>
      </c>
    </row>
    <row r="9" spans="1:22" x14ac:dyDescent="0.3">
      <c r="O9" t="s">
        <v>107</v>
      </c>
      <c r="P9" s="13"/>
    </row>
    <row r="10" spans="1:22" x14ac:dyDescent="0.3">
      <c r="A10" t="s">
        <v>50</v>
      </c>
      <c r="B10" s="15">
        <v>2020</v>
      </c>
      <c r="C10" s="15">
        <v>2021</v>
      </c>
      <c r="D10" s="15">
        <v>2022</v>
      </c>
      <c r="E10" s="15">
        <v>2023</v>
      </c>
      <c r="F10" s="15">
        <v>2024</v>
      </c>
      <c r="G10" s="15">
        <v>2025</v>
      </c>
      <c r="H10" s="15">
        <v>2026</v>
      </c>
      <c r="I10" s="15">
        <v>2027</v>
      </c>
      <c r="J10" s="15">
        <v>2028</v>
      </c>
      <c r="K10" s="15">
        <v>2029</v>
      </c>
      <c r="O10" t="s">
        <v>108</v>
      </c>
      <c r="P10" s="39" t="e">
        <f>T5</f>
        <v>#REF!</v>
      </c>
    </row>
    <row r="11" spans="1:22" x14ac:dyDescent="0.3">
      <c r="A11" t="s">
        <v>40</v>
      </c>
      <c r="B11" s="15">
        <v>1</v>
      </c>
      <c r="C11" s="15">
        <v>2</v>
      </c>
      <c r="D11" s="15">
        <v>3</v>
      </c>
      <c r="E11" s="15">
        <v>4</v>
      </c>
      <c r="F11" s="15">
        <v>5</v>
      </c>
      <c r="G11" s="15">
        <v>6</v>
      </c>
      <c r="H11" s="15">
        <v>7</v>
      </c>
      <c r="I11" s="15">
        <v>8</v>
      </c>
      <c r="J11" s="15">
        <v>9</v>
      </c>
      <c r="K11" s="15">
        <v>10</v>
      </c>
      <c r="L11" t="s">
        <v>47</v>
      </c>
      <c r="O11" t="s">
        <v>109</v>
      </c>
      <c r="P11" s="22"/>
    </row>
    <row r="12" spans="1:22" x14ac:dyDescent="0.3">
      <c r="A12" t="s">
        <v>41</v>
      </c>
      <c r="B12" s="13">
        <f>IF(B11&lt;=$B$7,'Growth Rates'!$B$18,$B$8)</f>
        <v>0</v>
      </c>
      <c r="C12" s="13">
        <f>IF(C11&lt;=$B$7,'Growth Rates'!$B$18,$B$8)</f>
        <v>0</v>
      </c>
      <c r="D12" s="13">
        <f>IF(D11&lt;=$B$7,'Growth Rates'!$B$18,$B$8)</f>
        <v>0</v>
      </c>
      <c r="E12" s="13">
        <f>IF(E11&lt;=$B$7,'Growth Rates'!$B$18,$B$8)</f>
        <v>0</v>
      </c>
      <c r="F12" s="13">
        <f>IF(F11&lt;=$B$7,'Growth Rates'!$B$18,$B$8)</f>
        <v>0</v>
      </c>
      <c r="G12" s="13">
        <f>IF(G11&lt;=$B$7,'Growth Rates'!$B$18,$B$8)</f>
        <v>0</v>
      </c>
      <c r="H12" s="13">
        <f>IF(H11&lt;=$B$7,'Growth Rates'!$B$18,$B$8)</f>
        <v>0</v>
      </c>
      <c r="I12" s="13">
        <f>IF(I11&lt;=$B$7,'Growth Rates'!$B$18,$B$8)</f>
        <v>0</v>
      </c>
      <c r="J12" s="13">
        <f>IF(J11&lt;=$B$7,'Growth Rates'!$B$18,$B$8)</f>
        <v>0</v>
      </c>
      <c r="K12" s="13">
        <f>IF(K11&lt;=$B$7,'Growth Rates'!$B$18,$B$8)</f>
        <v>0</v>
      </c>
      <c r="L12" s="8">
        <f>B8</f>
        <v>0</v>
      </c>
      <c r="O12" t="s">
        <v>110</v>
      </c>
      <c r="P12" s="7"/>
    </row>
    <row r="13" spans="1:22" x14ac:dyDescent="0.3">
      <c r="A13" t="s">
        <v>130</v>
      </c>
      <c r="B13" s="4">
        <f>IF(B11&lt;=$B$7,B5*(1+B12),0)</f>
        <v>0</v>
      </c>
      <c r="C13" s="4">
        <f>IF(C11&lt;=$B$7,B13*(1+C12),0)</f>
        <v>0</v>
      </c>
      <c r="D13" s="4">
        <f t="shared" ref="D13:K13" si="0">IF(D11&lt;=$B$7,C13*(1+D12),0)</f>
        <v>0</v>
      </c>
      <c r="E13" s="4">
        <f t="shared" si="0"/>
        <v>0</v>
      </c>
      <c r="F13" s="4">
        <f t="shared" si="0"/>
        <v>0</v>
      </c>
      <c r="G13" s="1">
        <f t="shared" si="0"/>
        <v>0</v>
      </c>
      <c r="H13" s="1">
        <f t="shared" si="0"/>
        <v>0</v>
      </c>
      <c r="I13" s="1">
        <f t="shared" si="0"/>
        <v>0</v>
      </c>
      <c r="J13" s="1">
        <f t="shared" si="0"/>
        <v>0</v>
      </c>
      <c r="K13" s="1">
        <f t="shared" si="0"/>
        <v>0</v>
      </c>
      <c r="L13" s="4" t="e">
        <f>(HLOOKUP(B7,B11:K13,3)*(1+L12))/(B6-B8)</f>
        <v>#N/A</v>
      </c>
      <c r="O13" t="s">
        <v>111</v>
      </c>
      <c r="P13" s="4">
        <f>P11*P12</f>
        <v>0</v>
      </c>
    </row>
    <row r="14" spans="1:22" x14ac:dyDescent="0.3">
      <c r="A14" t="s">
        <v>131</v>
      </c>
      <c r="B14" s="39" t="e">
        <f>B13/(1+$B$6)^B11</f>
        <v>#REF!</v>
      </c>
      <c r="C14" s="39" t="e">
        <f t="shared" ref="C14:K14" si="1">C13/(1+$B$6)^C11</f>
        <v>#REF!</v>
      </c>
      <c r="D14" s="39" t="e">
        <f t="shared" si="1"/>
        <v>#REF!</v>
      </c>
      <c r="E14" s="39" t="e">
        <f t="shared" si="1"/>
        <v>#REF!</v>
      </c>
      <c r="F14" s="39" t="e">
        <f t="shared" si="1"/>
        <v>#REF!</v>
      </c>
      <c r="G14" s="41" t="e">
        <f t="shared" si="1"/>
        <v>#REF!</v>
      </c>
      <c r="H14" s="41" t="e">
        <f t="shared" si="1"/>
        <v>#REF!</v>
      </c>
      <c r="I14" s="41" t="e">
        <f t="shared" si="1"/>
        <v>#REF!</v>
      </c>
      <c r="J14" s="41" t="e">
        <f t="shared" si="1"/>
        <v>#REF!</v>
      </c>
      <c r="K14" s="41" t="e">
        <f t="shared" si="1"/>
        <v>#REF!</v>
      </c>
      <c r="L14" s="39" t="e">
        <f>L13/(1+B6)^HLOOKUP(B7,B11:K13,1)</f>
        <v>#N/A</v>
      </c>
      <c r="O14" t="s">
        <v>112</v>
      </c>
      <c r="P14" s="40">
        <f>'FCFF &amp; FCFE'!J1</f>
        <v>0</v>
      </c>
    </row>
    <row r="15" spans="1:22" x14ac:dyDescent="0.3">
      <c r="O15" t="s">
        <v>114</v>
      </c>
      <c r="P15" s="11" t="e">
        <f>P10/(P10+P13)</f>
        <v>#REF!</v>
      </c>
    </row>
    <row r="16" spans="1:22" x14ac:dyDescent="0.3">
      <c r="O16" t="s">
        <v>113</v>
      </c>
      <c r="P16" s="8" t="e">
        <f>1-P15</f>
        <v>#REF!</v>
      </c>
    </row>
    <row r="17" spans="1:16" x14ac:dyDescent="0.3">
      <c r="A17" t="s">
        <v>121</v>
      </c>
      <c r="B17" s="39" t="e">
        <f>SUM(B14:L14)</f>
        <v>#REF!</v>
      </c>
      <c r="O17" t="s">
        <v>115</v>
      </c>
      <c r="P17" s="13"/>
    </row>
    <row r="18" spans="1:16" x14ac:dyDescent="0.3">
      <c r="A18" t="s">
        <v>15</v>
      </c>
      <c r="B18" s="4">
        <f>Multiples!H6</f>
        <v>0</v>
      </c>
      <c r="O18" t="s">
        <v>116</v>
      </c>
      <c r="P18" s="8" t="e">
        <f>T7</f>
        <v>#REF!</v>
      </c>
    </row>
    <row r="19" spans="1:16" x14ac:dyDescent="0.3">
      <c r="A19" t="s">
        <v>122</v>
      </c>
      <c r="B19" s="5" t="e">
        <f>B17-B18</f>
        <v>#REF!</v>
      </c>
      <c r="O19" t="s">
        <v>23</v>
      </c>
      <c r="P19" s="8" t="e">
        <f>P17+(P8*P9)</f>
        <v>#DIV/0!</v>
      </c>
    </row>
    <row r="20" spans="1:16" ht="15" thickBot="1" x14ac:dyDescent="0.35">
      <c r="O20" s="2" t="s">
        <v>117</v>
      </c>
      <c r="P20" s="57" t="e">
        <f>(P18*P15)+(P19*P16)</f>
        <v>#REF!</v>
      </c>
    </row>
    <row r="21" spans="1:16" ht="15" thickBot="1" x14ac:dyDescent="0.35">
      <c r="A21" s="32" t="s">
        <v>48</v>
      </c>
      <c r="B21" s="42" t="e">
        <f>B19/P11</f>
        <v>#REF!</v>
      </c>
      <c r="C21" s="43" t="e">
        <f>B21/P12-1</f>
        <v>#REF!</v>
      </c>
    </row>
    <row r="24" spans="1:16" x14ac:dyDescent="0.3">
      <c r="A24" s="33" t="s">
        <v>123</v>
      </c>
      <c r="B24" s="33" t="s">
        <v>124</v>
      </c>
      <c r="C24" s="33" t="s">
        <v>125</v>
      </c>
      <c r="D24" s="33" t="s">
        <v>126</v>
      </c>
      <c r="G24" s="51"/>
      <c r="H24" s="63" t="s">
        <v>134</v>
      </c>
      <c r="I24" s="63"/>
      <c r="J24" s="63"/>
      <c r="K24" s="63"/>
      <c r="L24" s="63"/>
      <c r="M24" s="63"/>
      <c r="N24" s="63"/>
    </row>
    <row r="25" spans="1:16" x14ac:dyDescent="0.3">
      <c r="A25" s="34" t="s">
        <v>127</v>
      </c>
      <c r="B25" s="44" t="e">
        <f>B21</f>
        <v>#REF!</v>
      </c>
      <c r="C25" s="45" t="e">
        <f>C21</f>
        <v>#REF!</v>
      </c>
      <c r="D25" s="47">
        <v>0.8</v>
      </c>
      <c r="H25" s="62" t="s">
        <v>132</v>
      </c>
      <c r="I25" s="62"/>
      <c r="J25" s="62"/>
      <c r="K25" s="62"/>
      <c r="L25" s="62"/>
      <c r="M25" s="62"/>
      <c r="N25" s="62"/>
    </row>
    <row r="26" spans="1:16" ht="15" customHeight="1" x14ac:dyDescent="0.3">
      <c r="A26" s="34" t="s">
        <v>129</v>
      </c>
      <c r="B26" s="44">
        <f>Multiples!A8</f>
        <v>0</v>
      </c>
      <c r="C26" s="46" t="e">
        <f>B26/P12-1</f>
        <v>#DIV/0!</v>
      </c>
      <c r="D26" s="47">
        <v>0.2</v>
      </c>
      <c r="F26" s="64" t="s">
        <v>133</v>
      </c>
      <c r="G26" s="52" t="e">
        <f>B28</f>
        <v>#REF!</v>
      </c>
      <c r="H26" s="54">
        <v>-0.09</v>
      </c>
      <c r="I26" s="54">
        <v>-0.06</v>
      </c>
      <c r="J26" s="54">
        <v>-0.03</v>
      </c>
      <c r="K26" s="54">
        <v>0</v>
      </c>
      <c r="L26" s="54">
        <v>0.03</v>
      </c>
      <c r="M26" s="54">
        <v>0.06</v>
      </c>
      <c r="N26" s="54">
        <v>0.09</v>
      </c>
    </row>
    <row r="27" spans="1:16" ht="15" customHeight="1" x14ac:dyDescent="0.3">
      <c r="A27" s="34" t="s">
        <v>128</v>
      </c>
      <c r="B27" s="44" t="e">
        <f>DDM!B18</f>
        <v>#N/A</v>
      </c>
      <c r="C27" s="46" t="e">
        <f>B27/P12-1</f>
        <v>#N/A</v>
      </c>
      <c r="D27" s="47">
        <v>0</v>
      </c>
      <c r="F27" s="64"/>
      <c r="G27" s="8">
        <v>5.5E-2</v>
      </c>
      <c r="H27" s="55" t="e">
        <f t="dataTable" ref="H27:N34" dt2D="1" dtr="1" r1="B12" r2="B6"/>
        <v>#N/A</v>
      </c>
      <c r="I27" s="55" t="e">
        <v>#N/A</v>
      </c>
      <c r="J27" s="55" t="e">
        <v>#N/A</v>
      </c>
      <c r="K27" s="55" t="e">
        <v>#N/A</v>
      </c>
      <c r="L27" s="55" t="e">
        <v>#N/A</v>
      </c>
      <c r="M27" s="55" t="e">
        <v>#N/A</v>
      </c>
      <c r="N27" s="55" t="e">
        <v>#N/A</v>
      </c>
    </row>
    <row r="28" spans="1:16" ht="15" thickBot="1" x14ac:dyDescent="0.35">
      <c r="A28" s="35" t="s">
        <v>3</v>
      </c>
      <c r="B28" s="49" t="e">
        <f>(B25*D25)+(B26*D26)+(B27*D27)</f>
        <v>#REF!</v>
      </c>
      <c r="C28" s="50" t="e">
        <f>B28/P12-1</f>
        <v>#REF!</v>
      </c>
      <c r="D28" s="48">
        <f>SUM(D25:D27)</f>
        <v>1</v>
      </c>
      <c r="F28" s="64"/>
      <c r="G28" s="8">
        <v>0.06</v>
      </c>
      <c r="H28" s="55" t="e">
        <v>#N/A</v>
      </c>
      <c r="I28" s="55" t="e">
        <v>#N/A</v>
      </c>
      <c r="J28" s="55" t="e">
        <v>#N/A</v>
      </c>
      <c r="K28" s="55" t="e">
        <v>#N/A</v>
      </c>
      <c r="L28" s="55" t="e">
        <v>#N/A</v>
      </c>
      <c r="M28" s="55" t="e">
        <v>#N/A</v>
      </c>
      <c r="N28" s="55" t="e">
        <v>#N/A</v>
      </c>
    </row>
    <row r="29" spans="1:16" ht="15" thickTop="1" x14ac:dyDescent="0.3">
      <c r="F29" s="64"/>
      <c r="G29" s="8">
        <f>G28+0.005</f>
        <v>6.5000000000000002E-2</v>
      </c>
      <c r="H29" s="55" t="e">
        <v>#N/A</v>
      </c>
      <c r="I29" s="55" t="e">
        <v>#N/A</v>
      </c>
      <c r="J29" s="55" t="e">
        <v>#N/A</v>
      </c>
      <c r="K29" s="55" t="e">
        <v>#N/A</v>
      </c>
      <c r="L29" s="55" t="e">
        <v>#N/A</v>
      </c>
      <c r="M29" s="55" t="e">
        <v>#N/A</v>
      </c>
      <c r="N29" s="55" t="e">
        <v>#N/A</v>
      </c>
    </row>
    <row r="30" spans="1:16" x14ac:dyDescent="0.3">
      <c r="F30" s="64"/>
      <c r="G30" s="8">
        <f t="shared" ref="G30:G33" si="2">G29+0.005</f>
        <v>7.0000000000000007E-2</v>
      </c>
      <c r="H30" s="55" t="e">
        <v>#N/A</v>
      </c>
      <c r="I30" s="55" t="e">
        <v>#N/A</v>
      </c>
      <c r="J30" s="55" t="e">
        <v>#N/A</v>
      </c>
      <c r="K30" s="55" t="e">
        <v>#N/A</v>
      </c>
      <c r="L30" s="55" t="e">
        <v>#N/A</v>
      </c>
      <c r="M30" s="55" t="e">
        <v>#N/A</v>
      </c>
      <c r="N30" s="55" t="e">
        <v>#N/A</v>
      </c>
    </row>
    <row r="31" spans="1:16" x14ac:dyDescent="0.3">
      <c r="F31" s="64"/>
      <c r="G31" s="8">
        <f t="shared" si="2"/>
        <v>7.5000000000000011E-2</v>
      </c>
      <c r="H31" s="55" t="e">
        <v>#N/A</v>
      </c>
      <c r="I31" s="55" t="e">
        <v>#N/A</v>
      </c>
      <c r="J31" s="55" t="e">
        <v>#N/A</v>
      </c>
      <c r="K31" s="55" t="e">
        <v>#N/A</v>
      </c>
      <c r="L31" s="55" t="e">
        <v>#N/A</v>
      </c>
      <c r="M31" s="55" t="e">
        <v>#N/A</v>
      </c>
      <c r="N31" s="55" t="e">
        <v>#N/A</v>
      </c>
    </row>
    <row r="32" spans="1:16" x14ac:dyDescent="0.3">
      <c r="F32" s="64"/>
      <c r="G32" s="8">
        <f t="shared" si="2"/>
        <v>8.0000000000000016E-2</v>
      </c>
      <c r="H32" s="55" t="e">
        <v>#N/A</v>
      </c>
      <c r="I32" s="55" t="e">
        <v>#N/A</v>
      </c>
      <c r="J32" s="55" t="e">
        <v>#N/A</v>
      </c>
      <c r="K32" s="55" t="e">
        <v>#N/A</v>
      </c>
      <c r="L32" s="55" t="e">
        <v>#N/A</v>
      </c>
      <c r="M32" s="55" t="e">
        <v>#N/A</v>
      </c>
      <c r="N32" s="55" t="e">
        <v>#N/A</v>
      </c>
    </row>
    <row r="33" spans="6:14" x14ac:dyDescent="0.3">
      <c r="F33" s="64"/>
      <c r="G33" s="8">
        <f t="shared" si="2"/>
        <v>8.500000000000002E-2</v>
      </c>
      <c r="H33" s="55" t="e">
        <v>#N/A</v>
      </c>
      <c r="I33" s="55" t="e">
        <v>#N/A</v>
      </c>
      <c r="J33" s="55" t="e">
        <v>#N/A</v>
      </c>
      <c r="K33" s="55" t="e">
        <v>#N/A</v>
      </c>
      <c r="L33" s="55" t="e">
        <v>#N/A</v>
      </c>
      <c r="M33" s="55" t="e">
        <v>#N/A</v>
      </c>
      <c r="N33" s="55" t="e">
        <v>#N/A</v>
      </c>
    </row>
    <row r="34" spans="6:14" x14ac:dyDescent="0.3">
      <c r="F34" s="64"/>
      <c r="G34" s="8">
        <v>0.09</v>
      </c>
      <c r="H34" s="55" t="e">
        <v>#N/A</v>
      </c>
      <c r="I34" s="55" t="e">
        <v>#N/A</v>
      </c>
      <c r="J34" s="55" t="e">
        <v>#N/A</v>
      </c>
      <c r="K34" s="55" t="e">
        <v>#N/A</v>
      </c>
      <c r="L34" s="55" t="e">
        <v>#N/A</v>
      </c>
      <c r="M34" s="55" t="e">
        <v>#N/A</v>
      </c>
      <c r="N34" s="55" t="e">
        <v>#N/A</v>
      </c>
    </row>
  </sheetData>
  <mergeCells count="3">
    <mergeCell ref="H25:N25"/>
    <mergeCell ref="H24:N24"/>
    <mergeCell ref="F26:F34"/>
  </mergeCells>
  <conditionalFormatting sqref="H27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showInputMessage="1" showErrorMessage="1" sqref="B4" xr:uid="{00000000-0002-0000-0000-000000000000}">
      <formula1>$A$1:$A$2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H8"/>
  <sheetViews>
    <sheetView workbookViewId="0">
      <selection activeCell="H3" sqref="H3"/>
    </sheetView>
  </sheetViews>
  <sheetFormatPr defaultRowHeight="14.4" x14ac:dyDescent="0.3"/>
  <cols>
    <col min="1" max="1" width="11.44140625" bestFit="1" customWidth="1"/>
    <col min="3" max="3" width="24.5546875" bestFit="1" customWidth="1"/>
    <col min="4" max="4" width="59" bestFit="1" customWidth="1"/>
    <col min="7" max="7" width="25.5546875" bestFit="1" customWidth="1"/>
    <col min="8" max="8" width="13.44140625" bestFit="1" customWidth="1"/>
  </cols>
  <sheetData>
    <row r="1" spans="1:8" x14ac:dyDescent="0.3">
      <c r="A1" s="3" t="s">
        <v>3</v>
      </c>
      <c r="B1" s="3"/>
      <c r="C1" s="3" t="s">
        <v>4</v>
      </c>
      <c r="D1" s="3" t="s">
        <v>5</v>
      </c>
    </row>
    <row r="2" spans="1:8" x14ac:dyDescent="0.3">
      <c r="A2" s="1"/>
      <c r="C2" t="s">
        <v>0</v>
      </c>
      <c r="D2" t="s">
        <v>1</v>
      </c>
      <c r="G2" s="2" t="s">
        <v>15</v>
      </c>
    </row>
    <row r="3" spans="1:8" x14ac:dyDescent="0.3">
      <c r="A3" s="1"/>
      <c r="C3" t="s">
        <v>7</v>
      </c>
      <c r="D3" t="s">
        <v>8</v>
      </c>
      <c r="G3" t="s">
        <v>16</v>
      </c>
      <c r="H3" s="4">
        <f>VLOOKUP("Long-term debt", 'Balance Sheet (Annual)'!A1:BH299, 2, FALSE)</f>
        <v>0</v>
      </c>
    </row>
    <row r="4" spans="1:8" x14ac:dyDescent="0.3">
      <c r="A4" s="1"/>
      <c r="C4" t="s">
        <v>2</v>
      </c>
      <c r="D4" t="s">
        <v>6</v>
      </c>
      <c r="G4" t="s">
        <v>17</v>
      </c>
      <c r="H4" s="4">
        <f>-VLOOKUP("Cash", 'Balance Sheet (Annual)'!A1:DJ60, 2,FALSE)</f>
        <v>0</v>
      </c>
    </row>
    <row r="5" spans="1:8" x14ac:dyDescent="0.3">
      <c r="A5" s="1"/>
      <c r="C5" t="s">
        <v>9</v>
      </c>
      <c r="D5" t="s">
        <v>10</v>
      </c>
      <c r="G5" t="s">
        <v>18</v>
      </c>
      <c r="H5" s="4">
        <f>-VLOOKUP("Short-Term Investments", 'Balance Sheet (Annual)'!A1:DJ60, 2,FALSE)</f>
        <v>0</v>
      </c>
    </row>
    <row r="6" spans="1:8" x14ac:dyDescent="0.3">
      <c r="A6" s="1"/>
      <c r="C6" t="s">
        <v>11</v>
      </c>
      <c r="D6" t="s">
        <v>12</v>
      </c>
      <c r="G6" t="s">
        <v>15</v>
      </c>
      <c r="H6" s="5">
        <f>SUM(H3:H5)</f>
        <v>0</v>
      </c>
    </row>
    <row r="7" spans="1:8" x14ac:dyDescent="0.3">
      <c r="A7" s="1"/>
      <c r="B7" s="6"/>
      <c r="C7" t="s">
        <v>13</v>
      </c>
      <c r="D7" t="s">
        <v>14</v>
      </c>
    </row>
    <row r="8" spans="1:8" x14ac:dyDescent="0.3">
      <c r="A8" s="1"/>
      <c r="B8" s="6"/>
      <c r="C8" t="s">
        <v>19</v>
      </c>
      <c r="D8" t="s">
        <v>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92D050"/>
  </sheetPr>
  <dimension ref="A1:L18"/>
  <sheetViews>
    <sheetView workbookViewId="0">
      <selection activeCell="B8" sqref="B8"/>
    </sheetView>
  </sheetViews>
  <sheetFormatPr defaultRowHeight="14.4" x14ac:dyDescent="0.3"/>
  <cols>
    <col min="1" max="1" width="30.33203125" bestFit="1" customWidth="1"/>
    <col min="2" max="12" width="11.44140625" customWidth="1"/>
  </cols>
  <sheetData>
    <row r="1" spans="1:12" x14ac:dyDescent="0.3">
      <c r="A1" s="2" t="s">
        <v>21</v>
      </c>
      <c r="E1" t="s">
        <v>24</v>
      </c>
      <c r="H1" t="s">
        <v>26</v>
      </c>
    </row>
    <row r="2" spans="1:12" x14ac:dyDescent="0.3">
      <c r="E2" t="s">
        <v>25</v>
      </c>
      <c r="F2">
        <v>1.1100000000000001</v>
      </c>
      <c r="H2" s="9" t="s">
        <v>28</v>
      </c>
    </row>
    <row r="3" spans="1:12" x14ac:dyDescent="0.3">
      <c r="A3" t="s">
        <v>22</v>
      </c>
      <c r="B3" s="7"/>
      <c r="E3" t="s">
        <v>30</v>
      </c>
      <c r="F3" s="8">
        <v>5.2200000000000003E-2</v>
      </c>
      <c r="H3" s="9" t="s">
        <v>27</v>
      </c>
    </row>
    <row r="4" spans="1:12" x14ac:dyDescent="0.3">
      <c r="A4" t="s">
        <v>23</v>
      </c>
      <c r="B4" s="11">
        <f>F4+(F2*F3)</f>
        <v>7.3572000000000012E-2</v>
      </c>
      <c r="E4" t="s">
        <v>29</v>
      </c>
      <c r="F4" s="10">
        <v>1.5630000000000002E-2</v>
      </c>
      <c r="H4" s="9" t="s">
        <v>31</v>
      </c>
    </row>
    <row r="5" spans="1:12" x14ac:dyDescent="0.3">
      <c r="A5" t="s">
        <v>32</v>
      </c>
      <c r="B5" s="12"/>
    </row>
    <row r="6" spans="1:12" x14ac:dyDescent="0.3">
      <c r="A6" t="s">
        <v>34</v>
      </c>
      <c r="B6" s="13"/>
      <c r="E6" t="s">
        <v>37</v>
      </c>
      <c r="F6" s="11"/>
    </row>
    <row r="7" spans="1:12" x14ac:dyDescent="0.3">
      <c r="A7" t="s">
        <v>33</v>
      </c>
      <c r="B7" s="8">
        <v>0</v>
      </c>
      <c r="E7" t="s">
        <v>35</v>
      </c>
      <c r="F7" s="11">
        <f>0.73/0.665-1</f>
        <v>9.7744360902255467E-2</v>
      </c>
      <c r="G7" s="11">
        <f>0.8/0.73-1</f>
        <v>9.5890410958904271E-2</v>
      </c>
      <c r="H7" s="11">
        <f>(F7+G7)/2</f>
        <v>9.6817385930579869E-2</v>
      </c>
    </row>
    <row r="8" spans="1:12" x14ac:dyDescent="0.3">
      <c r="A8" t="s">
        <v>38</v>
      </c>
      <c r="B8" s="8">
        <f>B4-B7</f>
        <v>7.3572000000000012E-2</v>
      </c>
      <c r="E8" t="s">
        <v>36</v>
      </c>
      <c r="F8" s="11">
        <f>0.88/0.8-1</f>
        <v>9.9999999999999867E-2</v>
      </c>
      <c r="G8" s="11">
        <f>0.97/0.88-1</f>
        <v>0.10227272727272729</v>
      </c>
      <c r="H8" s="11">
        <f>(F8+G8)/2</f>
        <v>0.10113636363636358</v>
      </c>
    </row>
    <row r="9" spans="1:12" x14ac:dyDescent="0.3">
      <c r="H9" s="11">
        <f>(H7+H8)/2</f>
        <v>9.8976874783471724E-2</v>
      </c>
    </row>
    <row r="11" spans="1:12" x14ac:dyDescent="0.3">
      <c r="A11" s="2" t="s">
        <v>39</v>
      </c>
      <c r="B11" t="s">
        <v>42</v>
      </c>
      <c r="C11" t="s">
        <v>43</v>
      </c>
      <c r="D11" t="s">
        <v>44</v>
      </c>
    </row>
    <row r="12" spans="1:12" x14ac:dyDescent="0.3">
      <c r="A12" t="s">
        <v>40</v>
      </c>
      <c r="B12">
        <v>1</v>
      </c>
      <c r="C12">
        <v>2</v>
      </c>
      <c r="D12">
        <v>3</v>
      </c>
      <c r="E12">
        <v>4</v>
      </c>
      <c r="F12">
        <v>5</v>
      </c>
      <c r="G12">
        <v>6</v>
      </c>
      <c r="H12">
        <v>7</v>
      </c>
      <c r="I12">
        <v>8</v>
      </c>
      <c r="J12">
        <v>9</v>
      </c>
      <c r="K12">
        <v>10</v>
      </c>
      <c r="L12" t="s">
        <v>47</v>
      </c>
    </row>
    <row r="13" spans="1:12" x14ac:dyDescent="0.3">
      <c r="A13" t="s">
        <v>41</v>
      </c>
      <c r="B13" s="8">
        <f>IF(B12&lt;=$B$5,$B$6,$B$7)</f>
        <v>0</v>
      </c>
      <c r="C13" s="8">
        <f t="shared" ref="C13:K13" si="0">IF(C12&lt;=$B$5,$B$6,$B$7)</f>
        <v>0</v>
      </c>
      <c r="D13" s="8">
        <f t="shared" si="0"/>
        <v>0</v>
      </c>
      <c r="E13" s="8">
        <f t="shared" si="0"/>
        <v>0</v>
      </c>
      <c r="F13" s="8">
        <f t="shared" si="0"/>
        <v>0</v>
      </c>
      <c r="G13" s="8">
        <f t="shared" si="0"/>
        <v>0</v>
      </c>
      <c r="H13" s="8">
        <f t="shared" si="0"/>
        <v>0</v>
      </c>
      <c r="I13" s="8">
        <f t="shared" si="0"/>
        <v>0</v>
      </c>
      <c r="J13" s="8">
        <f t="shared" si="0"/>
        <v>0</v>
      </c>
      <c r="K13" s="8">
        <f t="shared" si="0"/>
        <v>0</v>
      </c>
      <c r="L13" s="8">
        <f>B7</f>
        <v>0</v>
      </c>
    </row>
    <row r="14" spans="1:12" x14ac:dyDescent="0.3">
      <c r="A14" t="s">
        <v>45</v>
      </c>
      <c r="B14" s="1">
        <f>IF(B12&lt;=$B$5,$B$3*(1+$B$6),0)</f>
        <v>0</v>
      </c>
      <c r="C14" s="1">
        <f>IF(C12&lt;=$B$5,B14*(1+$B$6),0)</f>
        <v>0</v>
      </c>
      <c r="D14" s="1">
        <f t="shared" ref="D14:K14" si="1">IF(D12&lt;=$B$5,C14*(1+$B$6),0)</f>
        <v>0</v>
      </c>
      <c r="E14" s="1">
        <f t="shared" si="1"/>
        <v>0</v>
      </c>
      <c r="F14" s="1">
        <f t="shared" si="1"/>
        <v>0</v>
      </c>
      <c r="G14" s="1">
        <f t="shared" si="1"/>
        <v>0</v>
      </c>
      <c r="H14" s="1">
        <f t="shared" si="1"/>
        <v>0</v>
      </c>
      <c r="I14" s="1">
        <f t="shared" si="1"/>
        <v>0</v>
      </c>
      <c r="J14" s="1">
        <f t="shared" si="1"/>
        <v>0</v>
      </c>
      <c r="K14" s="1">
        <f t="shared" si="1"/>
        <v>0</v>
      </c>
      <c r="L14" s="1" t="e">
        <f>(HLOOKUP(B5,B12:K14,3)*(1+L13))/(B8)</f>
        <v>#N/A</v>
      </c>
    </row>
    <row r="15" spans="1:12" x14ac:dyDescent="0.3">
      <c r="A15" t="s">
        <v>46</v>
      </c>
      <c r="B15" s="1">
        <f>B14/(1+$B$4)^B12</f>
        <v>0</v>
      </c>
      <c r="C15" s="1">
        <f t="shared" ref="C15:K15" si="2">C14/(1+$B$4)^C12</f>
        <v>0</v>
      </c>
      <c r="D15" s="1">
        <f t="shared" si="2"/>
        <v>0</v>
      </c>
      <c r="E15" s="1">
        <f t="shared" si="2"/>
        <v>0</v>
      </c>
      <c r="F15" s="1">
        <f t="shared" si="2"/>
        <v>0</v>
      </c>
      <c r="G15" s="1">
        <f t="shared" si="2"/>
        <v>0</v>
      </c>
      <c r="H15" s="1">
        <f t="shared" si="2"/>
        <v>0</v>
      </c>
      <c r="I15" s="1">
        <f t="shared" si="2"/>
        <v>0</v>
      </c>
      <c r="J15" s="1">
        <f t="shared" si="2"/>
        <v>0</v>
      </c>
      <c r="K15" s="1">
        <f t="shared" si="2"/>
        <v>0</v>
      </c>
      <c r="L15" s="1" t="e">
        <f>L14/(1+B8)^B5</f>
        <v>#N/A</v>
      </c>
    </row>
    <row r="18" spans="1:2" x14ac:dyDescent="0.3">
      <c r="A18" s="2" t="s">
        <v>48</v>
      </c>
      <c r="B18" s="14" t="e">
        <f>SUM(B15:L15)</f>
        <v>#N/A</v>
      </c>
    </row>
  </sheetData>
  <hyperlinks>
    <hyperlink ref="H3" r:id="rId1" xr:uid="{00000000-0004-0000-0200-000000000000}"/>
    <hyperlink ref="H2" r:id="rId2" xr:uid="{00000000-0004-0000-0200-000001000000}"/>
    <hyperlink ref="H4" r:id="rId3" xr:uid="{00000000-0004-0000-0200-000002000000}"/>
  </hyperlinks>
  <pageMargins left="0.7" right="0.7" top="0.75" bottom="0.75" header="0.3" footer="0.3"/>
  <pageSetup orientation="portrait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rgb="FFFFFF00"/>
  </sheetPr>
  <dimension ref="A1:J37"/>
  <sheetViews>
    <sheetView topLeftCell="A9" workbookViewId="0">
      <selection activeCell="J1" sqref="J1"/>
    </sheetView>
  </sheetViews>
  <sheetFormatPr defaultRowHeight="14.4" x14ac:dyDescent="0.3"/>
  <cols>
    <col min="1" max="1" width="23" bestFit="1" customWidth="1"/>
    <col min="2" max="2" width="10.5546875" bestFit="1" customWidth="1"/>
    <col min="4" max="4" width="23" bestFit="1" customWidth="1"/>
    <col min="9" max="9" width="17.5546875" bestFit="1" customWidth="1"/>
  </cols>
  <sheetData>
    <row r="1" spans="1:10" x14ac:dyDescent="0.3">
      <c r="A1" s="65" t="s">
        <v>63</v>
      </c>
      <c r="B1" s="65"/>
      <c r="D1" s="65" t="s">
        <v>64</v>
      </c>
      <c r="E1" s="65"/>
      <c r="I1" t="s">
        <v>71</v>
      </c>
      <c r="J1" s="23">
        <f>VLOOKUP("Tax Rate %", 'Key Ratios'!1:1048576,2,FALSE)</f>
        <v>0</v>
      </c>
    </row>
    <row r="3" spans="1:10" x14ac:dyDescent="0.3">
      <c r="A3" s="65" t="s">
        <v>65</v>
      </c>
      <c r="B3" s="65"/>
      <c r="D3" s="65" t="s">
        <v>65</v>
      </c>
      <c r="E3" s="65"/>
      <c r="I3" t="s">
        <v>73</v>
      </c>
      <c r="J3" s="12">
        <f>VLOOKUP("Debt Issued",'Cash Flow Statement'!1:1048576,2,FALSE)</f>
        <v>0</v>
      </c>
    </row>
    <row r="4" spans="1:10" x14ac:dyDescent="0.3">
      <c r="A4" t="s">
        <v>66</v>
      </c>
      <c r="B4" s="22">
        <f>VLOOKUP("Net income available to common shareholders",'Income Statement'!A2:AE36,2,FALSE)</f>
        <v>0</v>
      </c>
      <c r="D4" t="s">
        <v>66</v>
      </c>
      <c r="E4">
        <f>B4</f>
        <v>0</v>
      </c>
      <c r="I4" t="s">
        <v>74</v>
      </c>
      <c r="J4" s="12">
        <f>VLOOKUP("Debt Repayment",'Cash Flow Statement'!1:1048576,2,FALSE)</f>
        <v>0</v>
      </c>
    </row>
    <row r="5" spans="1:10" ht="15" thickBot="1" x14ac:dyDescent="0.35">
      <c r="A5" t="s">
        <v>67</v>
      </c>
      <c r="B5" s="22">
        <f>VLOOKUP("Depreciation &amp; amortization",'Cash Flow Statement'!1:1048576,2,FALSE)</f>
        <v>0</v>
      </c>
      <c r="D5" t="s">
        <v>67</v>
      </c>
      <c r="E5">
        <f>B5</f>
        <v>0</v>
      </c>
      <c r="I5" s="24" t="s">
        <v>72</v>
      </c>
      <c r="J5" s="24">
        <f>SUM(J3:J4)</f>
        <v>0</v>
      </c>
    </row>
    <row r="6" spans="1:10" ht="15" thickTop="1" x14ac:dyDescent="0.3">
      <c r="A6" t="s">
        <v>68</v>
      </c>
      <c r="B6" s="22">
        <f>-'Change WC'!B18</f>
        <v>0</v>
      </c>
      <c r="D6" t="s">
        <v>68</v>
      </c>
      <c r="E6">
        <f>B6</f>
        <v>0</v>
      </c>
    </row>
    <row r="7" spans="1:10" x14ac:dyDescent="0.3">
      <c r="A7" t="s">
        <v>69</v>
      </c>
      <c r="B7" s="22">
        <f>VLOOKUP("Capital expenditure",'Cash Flow Statement'!1:1048576,2,FALSE)</f>
        <v>0</v>
      </c>
      <c r="D7" t="s">
        <v>69</v>
      </c>
      <c r="E7">
        <f>B7</f>
        <v>0</v>
      </c>
    </row>
    <row r="8" spans="1:10" x14ac:dyDescent="0.3">
      <c r="A8" t="s">
        <v>70</v>
      </c>
      <c r="B8" s="22">
        <f>VLOOKUP("Interest Expense",'Income Statement'!A2:AE36,2,FALSE) * (1-J1)</f>
        <v>0</v>
      </c>
      <c r="D8" t="s">
        <v>72</v>
      </c>
      <c r="E8" s="12">
        <f>J5</f>
        <v>0</v>
      </c>
    </row>
    <row r="9" spans="1:10" ht="15" thickBot="1" x14ac:dyDescent="0.35">
      <c r="A9" s="24" t="s">
        <v>63</v>
      </c>
      <c r="B9" s="25">
        <f>SUM(B4:B8)</f>
        <v>0</v>
      </c>
      <c r="D9" s="24" t="s">
        <v>64</v>
      </c>
      <c r="E9" s="24">
        <f>SUM(E4:E8)</f>
        <v>0</v>
      </c>
    </row>
    <row r="10" spans="1:10" ht="15" thickTop="1" x14ac:dyDescent="0.3"/>
    <row r="11" spans="1:10" x14ac:dyDescent="0.3">
      <c r="A11" s="65" t="s">
        <v>75</v>
      </c>
      <c r="B11" s="65"/>
      <c r="D11" s="65" t="s">
        <v>75</v>
      </c>
      <c r="E11" s="65"/>
    </row>
    <row r="12" spans="1:10" x14ac:dyDescent="0.3">
      <c r="A12" t="s">
        <v>80</v>
      </c>
      <c r="B12" s="22">
        <f>VLOOKUP("Operating Income",'Income Statement'!1:1048576,2,FALSE)*(1-J1)</f>
        <v>0</v>
      </c>
      <c r="D12" t="s">
        <v>80</v>
      </c>
      <c r="E12" s="21">
        <f>B12</f>
        <v>0</v>
      </c>
    </row>
    <row r="13" spans="1:10" x14ac:dyDescent="0.3">
      <c r="A13" t="s">
        <v>67</v>
      </c>
      <c r="B13">
        <f>B5</f>
        <v>0</v>
      </c>
      <c r="D13" t="s">
        <v>67</v>
      </c>
      <c r="E13">
        <f>B5</f>
        <v>0</v>
      </c>
    </row>
    <row r="14" spans="1:10" x14ac:dyDescent="0.3">
      <c r="A14" t="s">
        <v>76</v>
      </c>
      <c r="B14">
        <f>B6</f>
        <v>0</v>
      </c>
      <c r="D14" t="s">
        <v>68</v>
      </c>
      <c r="E14">
        <f>B6</f>
        <v>0</v>
      </c>
    </row>
    <row r="15" spans="1:10" x14ac:dyDescent="0.3">
      <c r="A15" t="s">
        <v>69</v>
      </c>
      <c r="B15">
        <f>B7</f>
        <v>0</v>
      </c>
      <c r="D15" t="s">
        <v>69</v>
      </c>
      <c r="E15">
        <f>B7</f>
        <v>0</v>
      </c>
    </row>
    <row r="16" spans="1:10" ht="15" thickBot="1" x14ac:dyDescent="0.35">
      <c r="A16" s="24" t="s">
        <v>63</v>
      </c>
      <c r="B16" s="25">
        <f>SUM(B12:B15)</f>
        <v>0</v>
      </c>
      <c r="D16" t="s">
        <v>70</v>
      </c>
      <c r="E16">
        <f>B8</f>
        <v>0</v>
      </c>
    </row>
    <row r="17" spans="1:5" ht="15" thickTop="1" x14ac:dyDescent="0.3">
      <c r="D17" t="s">
        <v>72</v>
      </c>
      <c r="E17">
        <f>E8</f>
        <v>0</v>
      </c>
    </row>
    <row r="18" spans="1:5" ht="15" thickBot="1" x14ac:dyDescent="0.35">
      <c r="D18" s="24" t="s">
        <v>64</v>
      </c>
      <c r="E18" s="25">
        <f>SUM(E12:E17)</f>
        <v>0</v>
      </c>
    </row>
    <row r="19" spans="1:5" ht="15" thickTop="1" x14ac:dyDescent="0.3"/>
    <row r="20" spans="1:5" x14ac:dyDescent="0.3">
      <c r="A20" s="65" t="s">
        <v>78</v>
      </c>
      <c r="B20" s="65"/>
      <c r="D20" s="65" t="s">
        <v>78</v>
      </c>
      <c r="E20" s="65"/>
    </row>
    <row r="21" spans="1:5" x14ac:dyDescent="0.3">
      <c r="A21" t="s">
        <v>78</v>
      </c>
      <c r="B21" s="22">
        <f>VLOOKUP("Operating cash flow",'Cash Flow Statement'!1:1048576,2,FALSE)</f>
        <v>0</v>
      </c>
      <c r="D21" t="s">
        <v>78</v>
      </c>
      <c r="E21">
        <f>B21</f>
        <v>0</v>
      </c>
    </row>
    <row r="22" spans="1:5" x14ac:dyDescent="0.3">
      <c r="A22" t="s">
        <v>70</v>
      </c>
      <c r="B22" s="21">
        <f>B8</f>
        <v>0</v>
      </c>
      <c r="D22" t="s">
        <v>69</v>
      </c>
      <c r="E22">
        <f>B7</f>
        <v>0</v>
      </c>
    </row>
    <row r="23" spans="1:5" x14ac:dyDescent="0.3">
      <c r="A23" t="s">
        <v>69</v>
      </c>
      <c r="B23" s="21">
        <f>B7</f>
        <v>0</v>
      </c>
      <c r="D23" t="s">
        <v>72</v>
      </c>
      <c r="E23">
        <f>E8</f>
        <v>0</v>
      </c>
    </row>
    <row r="24" spans="1:5" ht="15" thickBot="1" x14ac:dyDescent="0.35">
      <c r="A24" s="24" t="s">
        <v>63</v>
      </c>
      <c r="B24" s="25">
        <f>SUM(B21:B23)</f>
        <v>0</v>
      </c>
      <c r="D24" s="24" t="s">
        <v>64</v>
      </c>
      <c r="E24" s="24">
        <f>SUM(E21:E23)</f>
        <v>0</v>
      </c>
    </row>
    <row r="25" spans="1:5" ht="15" thickTop="1" x14ac:dyDescent="0.3"/>
    <row r="26" spans="1:5" x14ac:dyDescent="0.3">
      <c r="A26" s="65" t="s">
        <v>79</v>
      </c>
      <c r="B26" s="65"/>
      <c r="D26" s="65" t="s">
        <v>79</v>
      </c>
      <c r="E26" s="65"/>
    </row>
    <row r="27" spans="1:5" x14ac:dyDescent="0.3">
      <c r="A27" t="s">
        <v>80</v>
      </c>
      <c r="B27" s="21">
        <f>B12</f>
        <v>0</v>
      </c>
      <c r="D27" t="s">
        <v>80</v>
      </c>
      <c r="E27" s="21">
        <f>B12</f>
        <v>0</v>
      </c>
    </row>
    <row r="28" spans="1:5" x14ac:dyDescent="0.3">
      <c r="A28" t="s">
        <v>67</v>
      </c>
      <c r="B28">
        <f>B5</f>
        <v>0</v>
      </c>
      <c r="D28" t="s">
        <v>67</v>
      </c>
      <c r="E28">
        <f>B5</f>
        <v>0</v>
      </c>
    </row>
    <row r="29" spans="1:5" x14ac:dyDescent="0.3">
      <c r="A29" t="s">
        <v>81</v>
      </c>
      <c r="B29" s="12">
        <f>_xlfn.IFNA(VLOOKUP("Stock Compensation",'Cash Flow Statement'!1:1048576,2,FALSE),0)</f>
        <v>0</v>
      </c>
      <c r="D29" t="s">
        <v>81</v>
      </c>
      <c r="E29">
        <f>B29</f>
        <v>0</v>
      </c>
    </row>
    <row r="30" spans="1:5" x14ac:dyDescent="0.3">
      <c r="A30" t="s">
        <v>82</v>
      </c>
      <c r="B30" s="12">
        <f>_xlfn.IFNA(VLOOKUP(A30,'Cash Flow Statement'!1:1048576,2,FALSE),0)</f>
        <v>0</v>
      </c>
      <c r="D30" t="s">
        <v>82</v>
      </c>
      <c r="E30">
        <f>B30</f>
        <v>0</v>
      </c>
    </row>
    <row r="31" spans="1:5" x14ac:dyDescent="0.3">
      <c r="A31" t="s">
        <v>83</v>
      </c>
      <c r="B31" s="12">
        <f>_xlfn.IFNA(VLOOKUP("Deferred Income Taxes",'Cash Flow Statement'!1:1048576,2,FALSE),0)</f>
        <v>0</v>
      </c>
      <c r="D31" t="s">
        <v>83</v>
      </c>
      <c r="E31">
        <f>B31</f>
        <v>0</v>
      </c>
    </row>
    <row r="32" spans="1:5" x14ac:dyDescent="0.3">
      <c r="A32" t="s">
        <v>68</v>
      </c>
      <c r="B32">
        <f>B6</f>
        <v>0</v>
      </c>
      <c r="D32" t="s">
        <v>68</v>
      </c>
      <c r="E32">
        <f>B6</f>
        <v>0</v>
      </c>
    </row>
    <row r="33" spans="1:5" x14ac:dyDescent="0.3">
      <c r="A33" t="s">
        <v>69</v>
      </c>
      <c r="B33">
        <f>B7</f>
        <v>0</v>
      </c>
      <c r="D33" t="s">
        <v>69</v>
      </c>
      <c r="E33">
        <f>B7</f>
        <v>0</v>
      </c>
    </row>
    <row r="34" spans="1:5" ht="15" thickBot="1" x14ac:dyDescent="0.35">
      <c r="A34" s="24" t="s">
        <v>63</v>
      </c>
      <c r="B34" s="25">
        <f>SUM(B27:B33)</f>
        <v>0</v>
      </c>
      <c r="D34" t="s">
        <v>70</v>
      </c>
      <c r="E34">
        <f>B8</f>
        <v>0</v>
      </c>
    </row>
    <row r="35" spans="1:5" ht="15" thickTop="1" x14ac:dyDescent="0.3">
      <c r="D35" t="s">
        <v>72</v>
      </c>
      <c r="E35">
        <f>E8</f>
        <v>0</v>
      </c>
    </row>
    <row r="36" spans="1:5" ht="15" thickBot="1" x14ac:dyDescent="0.35">
      <c r="D36" s="24" t="s">
        <v>64</v>
      </c>
      <c r="E36" s="25">
        <f>SUM(E27:E35)</f>
        <v>0</v>
      </c>
    </row>
    <row r="37" spans="1:5" ht="15" thickTop="1" x14ac:dyDescent="0.3"/>
  </sheetData>
  <mergeCells count="10">
    <mergeCell ref="A20:B20"/>
    <mergeCell ref="D20:E20"/>
    <mergeCell ref="A26:B26"/>
    <mergeCell ref="D26:E26"/>
    <mergeCell ref="A1:B1"/>
    <mergeCell ref="D1:E1"/>
    <mergeCell ref="A3:B3"/>
    <mergeCell ref="D3:E3"/>
    <mergeCell ref="A11:B11"/>
    <mergeCell ref="D11:E1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FF00"/>
  </sheetPr>
  <dimension ref="A1:O18"/>
  <sheetViews>
    <sheetView workbookViewId="0">
      <selection activeCell="B19" sqref="B19"/>
    </sheetView>
  </sheetViews>
  <sheetFormatPr defaultRowHeight="14.4" x14ac:dyDescent="0.3"/>
  <cols>
    <col min="1" max="1" width="29.44140625" bestFit="1" customWidth="1"/>
  </cols>
  <sheetData>
    <row r="1" spans="1:15" x14ac:dyDescent="0.3">
      <c r="A1" s="16" t="s">
        <v>50</v>
      </c>
      <c r="B1" s="16">
        <f>'Key Ratios'!C2</f>
        <v>0</v>
      </c>
      <c r="C1" s="53">
        <f>'Key Ratios'!D2</f>
        <v>0</v>
      </c>
      <c r="D1" s="53">
        <f>'Key Ratios'!E2</f>
        <v>0</v>
      </c>
      <c r="E1" s="53">
        <f>'Key Ratios'!F2</f>
        <v>0</v>
      </c>
      <c r="F1" s="53">
        <f>'Key Ratios'!G2</f>
        <v>0</v>
      </c>
      <c r="G1" s="53">
        <f>'Key Ratios'!H2</f>
        <v>0</v>
      </c>
      <c r="H1" s="53">
        <f>'Key Ratios'!I2</f>
        <v>0</v>
      </c>
      <c r="I1" s="53">
        <f>'Key Ratios'!J2</f>
        <v>0</v>
      </c>
      <c r="J1" s="53">
        <f>'Key Ratios'!K2</f>
        <v>0</v>
      </c>
      <c r="K1" s="53">
        <f>'Key Ratios'!L2</f>
        <v>0</v>
      </c>
    </row>
    <row r="2" spans="1:15" x14ac:dyDescent="0.3">
      <c r="A2" t="s">
        <v>49</v>
      </c>
      <c r="B2" s="12">
        <f>'Key Ratios'!C10</f>
        <v>0</v>
      </c>
      <c r="C2" s="12">
        <f>'Key Ratios'!D10</f>
        <v>0</v>
      </c>
      <c r="D2" s="12">
        <f>'Key Ratios'!E10</f>
        <v>0</v>
      </c>
      <c r="E2" s="12">
        <f>'Key Ratios'!F10</f>
        <v>0</v>
      </c>
      <c r="F2" s="12">
        <f>'Key Ratios'!G10</f>
        <v>0</v>
      </c>
      <c r="G2" s="12">
        <f>'Key Ratios'!H10</f>
        <v>0</v>
      </c>
      <c r="H2" s="12">
        <f>'Key Ratios'!I10</f>
        <v>0</v>
      </c>
      <c r="I2" s="12">
        <f>'Key Ratios'!J10</f>
        <v>0</v>
      </c>
      <c r="J2" s="12">
        <f>'Key Ratios'!K10</f>
        <v>0</v>
      </c>
      <c r="K2" s="12">
        <f>'Key Ratios'!L10</f>
        <v>0</v>
      </c>
      <c r="O2" t="s">
        <v>54</v>
      </c>
    </row>
    <row r="3" spans="1:15" x14ac:dyDescent="0.3">
      <c r="A3" t="s">
        <v>51</v>
      </c>
      <c r="B3" s="12">
        <f>'Key Ratios'!C35</f>
        <v>0</v>
      </c>
      <c r="C3" s="12">
        <f>'Key Ratios'!D35</f>
        <v>0</v>
      </c>
      <c r="D3" s="12">
        <f>'Key Ratios'!E35</f>
        <v>0</v>
      </c>
      <c r="E3" s="12">
        <f>'Key Ratios'!F35</f>
        <v>0</v>
      </c>
      <c r="F3" s="12">
        <f>'Key Ratios'!G35</f>
        <v>0</v>
      </c>
      <c r="G3" s="12">
        <f>'Key Ratios'!H35</f>
        <v>0</v>
      </c>
      <c r="H3" s="12">
        <f>'Key Ratios'!I35</f>
        <v>0</v>
      </c>
      <c r="I3" s="12">
        <f>'Key Ratios'!J35</f>
        <v>0</v>
      </c>
      <c r="J3" s="12">
        <f>'Key Ratios'!K35</f>
        <v>0</v>
      </c>
      <c r="K3" s="12">
        <f>'Key Ratios'!L35</f>
        <v>0</v>
      </c>
      <c r="O3" t="s">
        <v>55</v>
      </c>
    </row>
    <row r="4" spans="1:15" x14ac:dyDescent="0.3">
      <c r="A4" t="s">
        <v>52</v>
      </c>
      <c r="B4" s="12">
        <f>'Key Ratios'!C37</f>
        <v>0</v>
      </c>
      <c r="C4" s="12">
        <f>'Key Ratios'!D37</f>
        <v>0</v>
      </c>
      <c r="D4" s="12">
        <f>'Key Ratios'!E37</f>
        <v>0</v>
      </c>
      <c r="E4" s="12">
        <f>'Key Ratios'!F37</f>
        <v>0</v>
      </c>
      <c r="F4" s="12">
        <f>'Key Ratios'!G37</f>
        <v>0</v>
      </c>
      <c r="G4" s="12">
        <f>'Key Ratios'!H37</f>
        <v>0</v>
      </c>
      <c r="H4" s="12">
        <f>'Key Ratios'!I37</f>
        <v>0</v>
      </c>
      <c r="I4" s="12">
        <f>'Key Ratios'!J37</f>
        <v>0</v>
      </c>
      <c r="J4" s="12">
        <f>'Key Ratios'!K37</f>
        <v>0</v>
      </c>
      <c r="K4" s="12">
        <f>'Key Ratios'!L37</f>
        <v>0</v>
      </c>
    </row>
    <row r="5" spans="1:15" x14ac:dyDescent="0.3">
      <c r="A5" t="s">
        <v>53</v>
      </c>
      <c r="B5" s="12">
        <f>'Key Ratios'!C38</f>
        <v>0</v>
      </c>
      <c r="C5" s="12">
        <f>'Key Ratios'!D38</f>
        <v>0</v>
      </c>
      <c r="D5" s="12">
        <f>'Key Ratios'!E38</f>
        <v>0</v>
      </c>
      <c r="E5" s="12">
        <f>'Key Ratios'!F38</f>
        <v>0</v>
      </c>
      <c r="F5" s="12">
        <f>'Key Ratios'!G38</f>
        <v>0</v>
      </c>
      <c r="G5" s="12">
        <f>'Key Ratios'!H38</f>
        <v>0</v>
      </c>
      <c r="H5" s="12">
        <f>'Key Ratios'!I38</f>
        <v>0</v>
      </c>
      <c r="I5" s="12">
        <f>'Key Ratios'!J38</f>
        <v>0</v>
      </c>
      <c r="J5" s="12">
        <f>'Key Ratios'!K38</f>
        <v>0</v>
      </c>
      <c r="K5" s="12">
        <f>'Key Ratios'!L38</f>
        <v>0</v>
      </c>
    </row>
    <row r="7" spans="1:15" x14ac:dyDescent="0.3">
      <c r="A7" t="s">
        <v>56</v>
      </c>
      <c r="B7" s="15">
        <f>1-(B2/100)</f>
        <v>1</v>
      </c>
      <c r="C7" s="15">
        <f t="shared" ref="C7:K7" si="0">1-(C2/100)</f>
        <v>1</v>
      </c>
      <c r="D7" s="15">
        <f t="shared" si="0"/>
        <v>1</v>
      </c>
      <c r="E7" s="15">
        <f t="shared" si="0"/>
        <v>1</v>
      </c>
      <c r="F7" s="15">
        <f t="shared" si="0"/>
        <v>1</v>
      </c>
      <c r="G7" s="15">
        <f t="shared" si="0"/>
        <v>1</v>
      </c>
      <c r="H7" s="15">
        <f t="shared" si="0"/>
        <v>1</v>
      </c>
      <c r="I7" s="15">
        <f t="shared" si="0"/>
        <v>1</v>
      </c>
      <c r="J7" s="15">
        <f t="shared" si="0"/>
        <v>1</v>
      </c>
      <c r="K7" s="15">
        <f t="shared" si="0"/>
        <v>1</v>
      </c>
    </row>
    <row r="8" spans="1:15" x14ac:dyDescent="0.3">
      <c r="A8" t="s">
        <v>51</v>
      </c>
      <c r="B8" s="15">
        <f>B3/100</f>
        <v>0</v>
      </c>
      <c r="C8" s="15">
        <f t="shared" ref="C8:K8" si="1">C3/100</f>
        <v>0</v>
      </c>
      <c r="D8" s="15">
        <f t="shared" si="1"/>
        <v>0</v>
      </c>
      <c r="E8" s="15">
        <f t="shared" si="1"/>
        <v>0</v>
      </c>
      <c r="F8" s="15">
        <f t="shared" si="1"/>
        <v>0</v>
      </c>
      <c r="G8" s="15">
        <f t="shared" si="1"/>
        <v>0</v>
      </c>
      <c r="H8" s="15">
        <f t="shared" si="1"/>
        <v>0</v>
      </c>
      <c r="I8" s="15">
        <f t="shared" si="1"/>
        <v>0</v>
      </c>
      <c r="J8" s="15">
        <f t="shared" si="1"/>
        <v>0</v>
      </c>
      <c r="K8" s="15">
        <f t="shared" si="1"/>
        <v>0</v>
      </c>
    </row>
    <row r="9" spans="1:15" x14ac:dyDescent="0.3">
      <c r="A9" t="s">
        <v>52</v>
      </c>
      <c r="B9" s="15">
        <f>B4/100</f>
        <v>0</v>
      </c>
      <c r="C9" s="15">
        <f t="shared" ref="C9:K9" si="2">C4/100</f>
        <v>0</v>
      </c>
      <c r="D9" s="15">
        <f t="shared" si="2"/>
        <v>0</v>
      </c>
      <c r="E9" s="15">
        <f t="shared" si="2"/>
        <v>0</v>
      </c>
      <c r="F9" s="15">
        <f t="shared" si="2"/>
        <v>0</v>
      </c>
      <c r="G9" s="15">
        <f t="shared" si="2"/>
        <v>0</v>
      </c>
      <c r="H9" s="15">
        <f t="shared" si="2"/>
        <v>0</v>
      </c>
      <c r="I9" s="15">
        <f t="shared" si="2"/>
        <v>0</v>
      </c>
      <c r="J9" s="15">
        <f t="shared" si="2"/>
        <v>0</v>
      </c>
      <c r="K9" s="15">
        <f t="shared" si="2"/>
        <v>0</v>
      </c>
    </row>
    <row r="10" spans="1:15" x14ac:dyDescent="0.3">
      <c r="A10" t="s">
        <v>53</v>
      </c>
      <c r="B10" s="15">
        <f>B5/100</f>
        <v>0</v>
      </c>
      <c r="C10" s="15">
        <f t="shared" ref="C10:K10" si="3">C5/100</f>
        <v>0</v>
      </c>
      <c r="D10" s="15">
        <f t="shared" si="3"/>
        <v>0</v>
      </c>
      <c r="E10" s="15">
        <f t="shared" si="3"/>
        <v>0</v>
      </c>
      <c r="F10" s="15">
        <f t="shared" si="3"/>
        <v>0</v>
      </c>
      <c r="G10" s="15">
        <f t="shared" si="3"/>
        <v>0</v>
      </c>
      <c r="H10" s="15">
        <f t="shared" si="3"/>
        <v>0</v>
      </c>
      <c r="I10" s="15">
        <f t="shared" si="3"/>
        <v>0</v>
      </c>
      <c r="J10" s="15">
        <f t="shared" si="3"/>
        <v>0</v>
      </c>
      <c r="K10" s="15">
        <f t="shared" si="3"/>
        <v>0</v>
      </c>
    </row>
    <row r="11" spans="1:15" x14ac:dyDescent="0.3">
      <c r="M11" s="17" t="s">
        <v>58</v>
      </c>
    </row>
    <row r="12" spans="1:15" x14ac:dyDescent="0.3">
      <c r="A12" t="s">
        <v>57</v>
      </c>
      <c r="B12" s="20">
        <f>(B8*B7)/(1-(B8*B7))</f>
        <v>0</v>
      </c>
      <c r="C12" s="20">
        <f t="shared" ref="C12:K12" si="4">(C8*C7)/(1-(C8*C7))</f>
        <v>0</v>
      </c>
      <c r="D12" s="20">
        <f t="shared" si="4"/>
        <v>0</v>
      </c>
      <c r="E12" s="20">
        <f t="shared" si="4"/>
        <v>0</v>
      </c>
      <c r="F12" s="20">
        <f t="shared" si="4"/>
        <v>0</v>
      </c>
      <c r="G12" s="20">
        <f t="shared" si="4"/>
        <v>0</v>
      </c>
      <c r="H12" s="20">
        <f t="shared" si="4"/>
        <v>0</v>
      </c>
      <c r="I12" s="20">
        <f t="shared" si="4"/>
        <v>0</v>
      </c>
      <c r="J12" s="20">
        <f t="shared" si="4"/>
        <v>0</v>
      </c>
      <c r="K12" s="20">
        <f t="shared" si="4"/>
        <v>0</v>
      </c>
      <c r="M12" s="18">
        <f>AVERAGE(B12:K12)</f>
        <v>0</v>
      </c>
    </row>
    <row r="13" spans="1:15" x14ac:dyDescent="0.3">
      <c r="A13" t="s">
        <v>59</v>
      </c>
      <c r="B13" s="20">
        <f>(B9*B7)/(1-(B9*B7))</f>
        <v>0</v>
      </c>
      <c r="C13" s="20">
        <f t="shared" ref="C13:K13" si="5">(C9*C7)/(1-(C9*C7))</f>
        <v>0</v>
      </c>
      <c r="D13" s="20">
        <f t="shared" si="5"/>
        <v>0</v>
      </c>
      <c r="E13" s="20">
        <f t="shared" si="5"/>
        <v>0</v>
      </c>
      <c r="F13" s="20">
        <f t="shared" si="5"/>
        <v>0</v>
      </c>
      <c r="G13" s="20">
        <f t="shared" si="5"/>
        <v>0</v>
      </c>
      <c r="H13" s="20">
        <f t="shared" si="5"/>
        <v>0</v>
      </c>
      <c r="I13" s="20">
        <f t="shared" si="5"/>
        <v>0</v>
      </c>
      <c r="J13" s="20">
        <f t="shared" si="5"/>
        <v>0</v>
      </c>
      <c r="K13" s="20">
        <f t="shared" si="5"/>
        <v>0</v>
      </c>
      <c r="M13" s="18">
        <f t="shared" ref="M13:M14" si="6">AVERAGE(B13:K13)</f>
        <v>0</v>
      </c>
    </row>
    <row r="14" spans="1:15" x14ac:dyDescent="0.3">
      <c r="A14" t="s">
        <v>60</v>
      </c>
      <c r="B14" s="20">
        <f>B10*B7</f>
        <v>0</v>
      </c>
      <c r="C14" s="20">
        <f t="shared" ref="C14:K14" si="7">C10*C7</f>
        <v>0</v>
      </c>
      <c r="D14" s="20">
        <f t="shared" si="7"/>
        <v>0</v>
      </c>
      <c r="E14" s="20">
        <f t="shared" si="7"/>
        <v>0</v>
      </c>
      <c r="F14" s="20">
        <f t="shared" si="7"/>
        <v>0</v>
      </c>
      <c r="G14" s="20">
        <f t="shared" si="7"/>
        <v>0</v>
      </c>
      <c r="H14" s="20">
        <f t="shared" si="7"/>
        <v>0</v>
      </c>
      <c r="I14" s="20">
        <f t="shared" si="7"/>
        <v>0</v>
      </c>
      <c r="J14" s="20">
        <f t="shared" si="7"/>
        <v>0</v>
      </c>
      <c r="K14" s="20">
        <f t="shared" si="7"/>
        <v>0</v>
      </c>
      <c r="M14" s="18">
        <f t="shared" si="6"/>
        <v>0</v>
      </c>
    </row>
    <row r="15" spans="1:15" x14ac:dyDescent="0.3">
      <c r="A15" t="s">
        <v>61</v>
      </c>
      <c r="M15" s="19" t="s">
        <v>135</v>
      </c>
      <c r="O15" t="s">
        <v>62</v>
      </c>
    </row>
    <row r="18" spans="1:2" x14ac:dyDescent="0.3">
      <c r="A18" t="s">
        <v>320</v>
      </c>
      <c r="B18" s="8">
        <f>MIN(M12:M14)</f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C19"/>
  <sheetViews>
    <sheetView workbookViewId="0">
      <selection activeCell="B18" sqref="B18"/>
    </sheetView>
  </sheetViews>
  <sheetFormatPr defaultRowHeight="14.4" x14ac:dyDescent="0.3"/>
  <cols>
    <col min="1" max="1" width="37" customWidth="1"/>
    <col min="2" max="3" width="11.44140625" customWidth="1"/>
  </cols>
  <sheetData>
    <row r="1" spans="1:3" x14ac:dyDescent="0.3">
      <c r="A1" s="2" t="s">
        <v>84</v>
      </c>
    </row>
    <row r="3" spans="1:3" x14ac:dyDescent="0.3">
      <c r="A3" s="16" t="s">
        <v>89</v>
      </c>
      <c r="B3" s="27">
        <f>'Balance Sheet (Quarterly)'!B2</f>
        <v>0</v>
      </c>
      <c r="C3" s="27">
        <f>'Balance Sheet (Quarterly)'!C2</f>
        <v>0</v>
      </c>
    </row>
    <row r="4" spans="1:3" x14ac:dyDescent="0.3">
      <c r="A4" t="s">
        <v>85</v>
      </c>
      <c r="B4" s="12">
        <f>VLOOKUP(A4,'Balance Sheet (Quarterly)'!1:1048576,2,FALSE)</f>
        <v>0</v>
      </c>
      <c r="C4" s="12">
        <f>VLOOKUP(A4,'Balance Sheet (Quarterly)'!1:1048576,3,FALSE)</f>
        <v>0</v>
      </c>
    </row>
    <row r="5" spans="1:3" x14ac:dyDescent="0.3">
      <c r="A5" t="s">
        <v>86</v>
      </c>
      <c r="B5" s="12">
        <f>VLOOKUP(A5,'Balance Sheet (Quarterly)'!1:1048576,2,FALSE)</f>
        <v>0</v>
      </c>
      <c r="C5" s="12">
        <f>VLOOKUP(A5,'Balance Sheet (Quarterly)'!1:1048576,3,FALSE)</f>
        <v>0</v>
      </c>
    </row>
    <row r="6" spans="1:3" x14ac:dyDescent="0.3">
      <c r="A6" t="s">
        <v>87</v>
      </c>
      <c r="B6" s="12">
        <f>VLOOKUP(A6,'Balance Sheet (Quarterly)'!1:1048576,2,FALSE)</f>
        <v>0</v>
      </c>
      <c r="C6" s="12">
        <f>VLOOKUP(A6,'Balance Sheet (Quarterly)'!1:1048576,3,FALSE)</f>
        <v>0</v>
      </c>
    </row>
    <row r="7" spans="1:3" ht="15" thickBot="1" x14ac:dyDescent="0.35">
      <c r="A7" s="24" t="s">
        <v>88</v>
      </c>
      <c r="B7" s="24">
        <f>SUM(B4:B6)</f>
        <v>0</v>
      </c>
      <c r="C7" s="24">
        <f>SUM(C4:C6)</f>
        <v>0</v>
      </c>
    </row>
    <row r="8" spans="1:3" ht="15" thickTop="1" x14ac:dyDescent="0.3"/>
    <row r="9" spans="1:3" x14ac:dyDescent="0.3">
      <c r="A9" s="16" t="s">
        <v>90</v>
      </c>
    </row>
    <row r="10" spans="1:3" x14ac:dyDescent="0.3">
      <c r="A10" t="s">
        <v>91</v>
      </c>
      <c r="B10" s="12">
        <f>VLOOKUP(A10,'Balance Sheet (Quarterly)'!1:1048576,2,FALSE)</f>
        <v>0</v>
      </c>
      <c r="C10" s="12">
        <f>VLOOKUP(A10,'Balance Sheet (Quarterly)'!1:1048576,3,FALSE)</f>
        <v>0</v>
      </c>
    </row>
    <row r="11" spans="1:3" x14ac:dyDescent="0.3">
      <c r="A11" t="s">
        <v>92</v>
      </c>
      <c r="B11" s="12">
        <f>VLOOKUP(A11,'Balance Sheet (Quarterly)'!1:1048576,2,FALSE)</f>
        <v>0</v>
      </c>
      <c r="C11" s="12">
        <f>VLOOKUP(A11,'Balance Sheet (Quarterly)'!1:1048576,3,FALSE)</f>
        <v>0</v>
      </c>
    </row>
    <row r="12" spans="1:3" x14ac:dyDescent="0.3">
      <c r="A12" t="s">
        <v>93</v>
      </c>
      <c r="B12" s="12">
        <f>_xlfn.IFNA(VLOOKUP(A12,'Balance Sheet (Quarterly)'!1:1048576,2,FALSE),0)</f>
        <v>0</v>
      </c>
      <c r="C12" s="12">
        <f>_xlfn.IFNA(VLOOKUP(A12,'Balance Sheet (Quarterly)'!1:1048576,3,FALSE),0)</f>
        <v>0</v>
      </c>
    </row>
    <row r="13" spans="1:3" x14ac:dyDescent="0.3">
      <c r="A13" t="s">
        <v>319</v>
      </c>
      <c r="B13" s="12">
        <f>_xlfn.IFNA(VLOOKUP(A13,'Balance Sheet (Quarterly)'!1:1048576,2,FALSE),0)</f>
        <v>0</v>
      </c>
      <c r="C13" s="12">
        <f>_xlfn.IFNA(VLOOKUP(A13,'Balance Sheet (Quarterly)'!1:1048576,3,FALSE),0)</f>
        <v>0</v>
      </c>
    </row>
    <row r="14" spans="1:3" x14ac:dyDescent="0.3">
      <c r="A14" t="s">
        <v>94</v>
      </c>
      <c r="B14" s="12">
        <f>VLOOKUP(A14,'Balance Sheet (Quarterly)'!1:1048576,2,FALSE)</f>
        <v>0</v>
      </c>
      <c r="C14" s="12">
        <f>VLOOKUP(A14,'Balance Sheet (Quarterly)'!1:1048576,3,FALSE)</f>
        <v>0</v>
      </c>
    </row>
    <row r="15" spans="1:3" ht="15" thickBot="1" x14ac:dyDescent="0.35">
      <c r="A15" s="24" t="s">
        <v>95</v>
      </c>
      <c r="B15" s="24">
        <f>SUM(B10:B14)</f>
        <v>0</v>
      </c>
      <c r="C15" s="24">
        <f>SUM(C10:C14)</f>
        <v>0</v>
      </c>
    </row>
    <row r="16" spans="1:3" ht="15" thickTop="1" x14ac:dyDescent="0.3"/>
    <row r="17" spans="1:3" x14ac:dyDescent="0.3">
      <c r="A17" s="2" t="s">
        <v>96</v>
      </c>
      <c r="B17" s="28">
        <f>B7-B15</f>
        <v>0</v>
      </c>
      <c r="C17" s="28">
        <f>C7-C15</f>
        <v>0</v>
      </c>
    </row>
    <row r="18" spans="1:3" ht="15" thickBot="1" x14ac:dyDescent="0.35">
      <c r="A18" s="2" t="s">
        <v>97</v>
      </c>
      <c r="B18" s="26">
        <f>B17-C17</f>
        <v>0</v>
      </c>
    </row>
    <row r="19" spans="1:3" ht="15" thickTop="1" x14ac:dyDescent="0.3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EBB30-A070-4618-BC02-D1E0C8D7E700}">
  <sheetPr codeName="Sheet7">
    <tabColor rgb="FF00B0F0"/>
  </sheetPr>
  <dimension ref="A2:B26"/>
  <sheetViews>
    <sheetView workbookViewId="0">
      <selection activeCell="A14" sqref="A14"/>
    </sheetView>
  </sheetViews>
  <sheetFormatPr defaultRowHeight="14.4" x14ac:dyDescent="0.3"/>
  <cols>
    <col min="1" max="1" width="39.6640625" bestFit="1" customWidth="1"/>
  </cols>
  <sheetData>
    <row r="2" spans="1:2" x14ac:dyDescent="0.3">
      <c r="B2" t="s">
        <v>136</v>
      </c>
    </row>
    <row r="3" spans="1:2" x14ac:dyDescent="0.3">
      <c r="A3" t="s">
        <v>137</v>
      </c>
    </row>
    <row r="4" spans="1:2" x14ac:dyDescent="0.3">
      <c r="A4" t="s">
        <v>138</v>
      </c>
    </row>
    <row r="5" spans="1:2" x14ac:dyDescent="0.3">
      <c r="A5" t="s">
        <v>139</v>
      </c>
    </row>
    <row r="6" spans="1:2" x14ac:dyDescent="0.3">
      <c r="A6" t="s">
        <v>140</v>
      </c>
    </row>
    <row r="7" spans="1:2" x14ac:dyDescent="0.3">
      <c r="A7" t="s">
        <v>141</v>
      </c>
    </row>
    <row r="8" spans="1:2" x14ac:dyDescent="0.3">
      <c r="A8" t="s">
        <v>142</v>
      </c>
    </row>
    <row r="9" spans="1:2" x14ac:dyDescent="0.3">
      <c r="A9" t="s">
        <v>143</v>
      </c>
    </row>
    <row r="10" spans="1:2" x14ac:dyDescent="0.3">
      <c r="A10" t="s">
        <v>144</v>
      </c>
    </row>
    <row r="11" spans="1:2" x14ac:dyDescent="0.3">
      <c r="A11" t="s">
        <v>145</v>
      </c>
    </row>
    <row r="12" spans="1:2" x14ac:dyDescent="0.3">
      <c r="A12" t="s">
        <v>146</v>
      </c>
    </row>
    <row r="13" spans="1:2" x14ac:dyDescent="0.3">
      <c r="A13" t="s">
        <v>77</v>
      </c>
    </row>
    <row r="14" spans="1:2" x14ac:dyDescent="0.3">
      <c r="A14" t="s">
        <v>147</v>
      </c>
    </row>
    <row r="15" spans="1:2" x14ac:dyDescent="0.3">
      <c r="A15" t="s">
        <v>148</v>
      </c>
    </row>
    <row r="16" spans="1:2" x14ac:dyDescent="0.3">
      <c r="A16" t="s">
        <v>149</v>
      </c>
    </row>
    <row r="17" spans="1:1" x14ac:dyDescent="0.3">
      <c r="A17" t="s">
        <v>150</v>
      </c>
    </row>
    <row r="18" spans="1:1" x14ac:dyDescent="0.3">
      <c r="A18" t="s">
        <v>151</v>
      </c>
    </row>
    <row r="19" spans="1:1" x14ac:dyDescent="0.3">
      <c r="A19" t="s">
        <v>152</v>
      </c>
    </row>
    <row r="20" spans="1:1" x14ac:dyDescent="0.3">
      <c r="A20" t="s">
        <v>153</v>
      </c>
    </row>
    <row r="21" spans="1:1" x14ac:dyDescent="0.3">
      <c r="A21" t="s">
        <v>154</v>
      </c>
    </row>
    <row r="22" spans="1:1" x14ac:dyDescent="0.3">
      <c r="A22" t="s">
        <v>155</v>
      </c>
    </row>
    <row r="23" spans="1:1" x14ac:dyDescent="0.3">
      <c r="A23" t="s">
        <v>156</v>
      </c>
    </row>
    <row r="24" spans="1:1" x14ac:dyDescent="0.3">
      <c r="A24" t="s">
        <v>154</v>
      </c>
    </row>
    <row r="25" spans="1:1" x14ac:dyDescent="0.3">
      <c r="A25" t="s">
        <v>155</v>
      </c>
    </row>
    <row r="26" spans="1:1" x14ac:dyDescent="0.3">
      <c r="A26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0936A-4ABB-4D6D-86FE-D4E1220FD022}">
  <sheetPr codeName="Sheet8">
    <tabColor rgb="FF00B0F0"/>
  </sheetPr>
  <dimension ref="A3:A47"/>
  <sheetViews>
    <sheetView workbookViewId="0">
      <selection activeCell="K22" sqref="K22"/>
    </sheetView>
  </sheetViews>
  <sheetFormatPr defaultRowHeight="14.4" x14ac:dyDescent="0.3"/>
  <cols>
    <col min="1" max="1" width="36.33203125" bestFit="1" customWidth="1"/>
  </cols>
  <sheetData>
    <row r="3" spans="1:1" x14ac:dyDescent="0.3">
      <c r="A3" t="s">
        <v>158</v>
      </c>
    </row>
    <row r="4" spans="1:1" x14ac:dyDescent="0.3">
      <c r="A4" t="s">
        <v>159</v>
      </c>
    </row>
    <row r="5" spans="1:1" x14ac:dyDescent="0.3">
      <c r="A5" t="s">
        <v>160</v>
      </c>
    </row>
    <row r="6" spans="1:1" x14ac:dyDescent="0.3">
      <c r="A6" t="s">
        <v>161</v>
      </c>
    </row>
    <row r="7" spans="1:1" x14ac:dyDescent="0.3">
      <c r="A7" t="s">
        <v>162</v>
      </c>
    </row>
    <row r="8" spans="1:1" x14ac:dyDescent="0.3">
      <c r="A8" t="s">
        <v>163</v>
      </c>
    </row>
    <row r="9" spans="1:1" x14ac:dyDescent="0.3">
      <c r="A9" t="s">
        <v>85</v>
      </c>
    </row>
    <row r="10" spans="1:1" x14ac:dyDescent="0.3">
      <c r="A10" t="s">
        <v>86</v>
      </c>
    </row>
    <row r="11" spans="1:1" x14ac:dyDescent="0.3">
      <c r="A11" t="s">
        <v>164</v>
      </c>
    </row>
    <row r="12" spans="1:1" x14ac:dyDescent="0.3">
      <c r="A12" t="s">
        <v>87</v>
      </c>
    </row>
    <row r="13" spans="1:1" x14ac:dyDescent="0.3">
      <c r="A13" t="s">
        <v>88</v>
      </c>
    </row>
    <row r="14" spans="1:1" x14ac:dyDescent="0.3">
      <c r="A14" t="s">
        <v>165</v>
      </c>
    </row>
    <row r="15" spans="1:1" x14ac:dyDescent="0.3">
      <c r="A15" t="s">
        <v>166</v>
      </c>
    </row>
    <row r="16" spans="1:1" x14ac:dyDescent="0.3">
      <c r="A16" t="s">
        <v>167</v>
      </c>
    </row>
    <row r="17" spans="1:1" x14ac:dyDescent="0.3">
      <c r="A17" t="s">
        <v>168</v>
      </c>
    </row>
    <row r="18" spans="1:1" x14ac:dyDescent="0.3">
      <c r="A18" t="s">
        <v>169</v>
      </c>
    </row>
    <row r="19" spans="1:1" x14ac:dyDescent="0.3">
      <c r="A19" t="s">
        <v>170</v>
      </c>
    </row>
    <row r="20" spans="1:1" x14ac:dyDescent="0.3">
      <c r="A20" t="s">
        <v>171</v>
      </c>
    </row>
    <row r="21" spans="1:1" x14ac:dyDescent="0.3">
      <c r="A21" t="s">
        <v>172</v>
      </c>
    </row>
    <row r="22" spans="1:1" x14ac:dyDescent="0.3">
      <c r="A22" t="s">
        <v>173</v>
      </c>
    </row>
    <row r="23" spans="1:1" x14ac:dyDescent="0.3">
      <c r="A23" t="s">
        <v>174</v>
      </c>
    </row>
    <row r="24" spans="1:1" x14ac:dyDescent="0.3">
      <c r="A24" t="s">
        <v>175</v>
      </c>
    </row>
    <row r="25" spans="1:1" x14ac:dyDescent="0.3">
      <c r="A25" t="s">
        <v>176</v>
      </c>
    </row>
    <row r="26" spans="1:1" x14ac:dyDescent="0.3">
      <c r="A26" t="s">
        <v>177</v>
      </c>
    </row>
    <row r="27" spans="1:1" x14ac:dyDescent="0.3">
      <c r="A27" t="s">
        <v>178</v>
      </c>
    </row>
    <row r="28" spans="1:1" x14ac:dyDescent="0.3">
      <c r="A28" t="s">
        <v>179</v>
      </c>
    </row>
    <row r="29" spans="1:1" x14ac:dyDescent="0.3">
      <c r="A29" t="s">
        <v>91</v>
      </c>
    </row>
    <row r="30" spans="1:1" x14ac:dyDescent="0.3">
      <c r="A30" t="s">
        <v>92</v>
      </c>
    </row>
    <row r="31" spans="1:1" x14ac:dyDescent="0.3">
      <c r="A31" t="s">
        <v>180</v>
      </c>
    </row>
    <row r="32" spans="1:1" x14ac:dyDescent="0.3">
      <c r="A32" t="s">
        <v>94</v>
      </c>
    </row>
    <row r="33" spans="1:1" x14ac:dyDescent="0.3">
      <c r="A33" t="s">
        <v>95</v>
      </c>
    </row>
    <row r="34" spans="1:1" x14ac:dyDescent="0.3">
      <c r="A34" t="s">
        <v>181</v>
      </c>
    </row>
    <row r="35" spans="1:1" x14ac:dyDescent="0.3">
      <c r="A35" t="s">
        <v>182</v>
      </c>
    </row>
    <row r="36" spans="1:1" x14ac:dyDescent="0.3">
      <c r="A36" t="s">
        <v>183</v>
      </c>
    </row>
    <row r="37" spans="1:1" x14ac:dyDescent="0.3">
      <c r="A37" t="s">
        <v>184</v>
      </c>
    </row>
    <row r="38" spans="1:1" x14ac:dyDescent="0.3">
      <c r="A38" t="s">
        <v>180</v>
      </c>
    </row>
    <row r="39" spans="1:1" x14ac:dyDescent="0.3">
      <c r="A39" t="s">
        <v>185</v>
      </c>
    </row>
    <row r="40" spans="1:1" x14ac:dyDescent="0.3">
      <c r="A40" t="s">
        <v>186</v>
      </c>
    </row>
    <row r="41" spans="1:1" x14ac:dyDescent="0.3">
      <c r="A41" t="s">
        <v>187</v>
      </c>
    </row>
    <row r="42" spans="1:1" x14ac:dyDescent="0.3">
      <c r="A42" t="s">
        <v>188</v>
      </c>
    </row>
    <row r="43" spans="1:1" x14ac:dyDescent="0.3">
      <c r="A43" t="s">
        <v>189</v>
      </c>
    </row>
    <row r="44" spans="1:1" x14ac:dyDescent="0.3">
      <c r="A44" t="s">
        <v>190</v>
      </c>
    </row>
    <row r="45" spans="1:1" x14ac:dyDescent="0.3">
      <c r="A45" t="s">
        <v>191</v>
      </c>
    </row>
    <row r="46" spans="1:1" x14ac:dyDescent="0.3">
      <c r="A46" t="s">
        <v>192</v>
      </c>
    </row>
    <row r="47" spans="1:1" x14ac:dyDescent="0.3">
      <c r="A47" t="s">
        <v>193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1EB59-0C92-41DA-863D-E4C3A0D22A37}">
  <sheetPr codeName="Sheet9">
    <tabColor rgb="FF0070C0"/>
  </sheetPr>
  <dimension ref="A2:A46"/>
  <sheetViews>
    <sheetView workbookViewId="0">
      <selection activeCell="A30" sqref="A30"/>
    </sheetView>
  </sheetViews>
  <sheetFormatPr defaultRowHeight="14.4" x14ac:dyDescent="0.3"/>
  <cols>
    <col min="1" max="1" width="52.77734375" bestFit="1" customWidth="1"/>
  </cols>
  <sheetData>
    <row r="2" spans="1:1" x14ac:dyDescent="0.3">
      <c r="A2" t="s">
        <v>194</v>
      </c>
    </row>
    <row r="3" spans="1:1" x14ac:dyDescent="0.3">
      <c r="A3" t="s">
        <v>158</v>
      </c>
    </row>
    <row r="4" spans="1:1" x14ac:dyDescent="0.3">
      <c r="A4" t="s">
        <v>159</v>
      </c>
    </row>
    <row r="5" spans="1:1" x14ac:dyDescent="0.3">
      <c r="A5" t="s">
        <v>160</v>
      </c>
    </row>
    <row r="6" spans="1:1" x14ac:dyDescent="0.3">
      <c r="A6" t="s">
        <v>161</v>
      </c>
    </row>
    <row r="7" spans="1:1" x14ac:dyDescent="0.3">
      <c r="A7" t="s">
        <v>162</v>
      </c>
    </row>
    <row r="8" spans="1:1" x14ac:dyDescent="0.3">
      <c r="A8" t="s">
        <v>163</v>
      </c>
    </row>
    <row r="9" spans="1:1" x14ac:dyDescent="0.3">
      <c r="A9" t="s">
        <v>85</v>
      </c>
    </row>
    <row r="10" spans="1:1" x14ac:dyDescent="0.3">
      <c r="A10" t="s">
        <v>86</v>
      </c>
    </row>
    <row r="11" spans="1:1" x14ac:dyDescent="0.3">
      <c r="A11" t="s">
        <v>87</v>
      </c>
    </row>
    <row r="12" spans="1:1" x14ac:dyDescent="0.3">
      <c r="A12" t="s">
        <v>88</v>
      </c>
    </row>
    <row r="13" spans="1:1" x14ac:dyDescent="0.3">
      <c r="A13" t="s">
        <v>165</v>
      </c>
    </row>
    <row r="14" spans="1:1" x14ac:dyDescent="0.3">
      <c r="A14" t="s">
        <v>166</v>
      </c>
    </row>
    <row r="15" spans="1:1" x14ac:dyDescent="0.3">
      <c r="A15" t="s">
        <v>167</v>
      </c>
    </row>
    <row r="16" spans="1:1" x14ac:dyDescent="0.3">
      <c r="A16" t="s">
        <v>168</v>
      </c>
    </row>
    <row r="17" spans="1:1" x14ac:dyDescent="0.3">
      <c r="A17" t="s">
        <v>169</v>
      </c>
    </row>
    <row r="18" spans="1:1" x14ac:dyDescent="0.3">
      <c r="A18" t="s">
        <v>170</v>
      </c>
    </row>
    <row r="19" spans="1:1" x14ac:dyDescent="0.3">
      <c r="A19" t="s">
        <v>171</v>
      </c>
    </row>
    <row r="20" spans="1:1" x14ac:dyDescent="0.3">
      <c r="A20" t="s">
        <v>172</v>
      </c>
    </row>
    <row r="21" spans="1:1" x14ac:dyDescent="0.3">
      <c r="A21" t="s">
        <v>173</v>
      </c>
    </row>
    <row r="22" spans="1:1" x14ac:dyDescent="0.3">
      <c r="A22" t="s">
        <v>174</v>
      </c>
    </row>
    <row r="23" spans="1:1" x14ac:dyDescent="0.3">
      <c r="A23" t="s">
        <v>175</v>
      </c>
    </row>
    <row r="24" spans="1:1" x14ac:dyDescent="0.3">
      <c r="A24" t="s">
        <v>176</v>
      </c>
    </row>
    <row r="25" spans="1:1" x14ac:dyDescent="0.3">
      <c r="A25" t="s">
        <v>177</v>
      </c>
    </row>
    <row r="26" spans="1:1" x14ac:dyDescent="0.3">
      <c r="A26" t="s">
        <v>178</v>
      </c>
    </row>
    <row r="27" spans="1:1" x14ac:dyDescent="0.3">
      <c r="A27" t="s">
        <v>179</v>
      </c>
    </row>
    <row r="28" spans="1:1" x14ac:dyDescent="0.3">
      <c r="A28" t="s">
        <v>91</v>
      </c>
    </row>
    <row r="29" spans="1:1" x14ac:dyDescent="0.3">
      <c r="A29" t="s">
        <v>92</v>
      </c>
    </row>
    <row r="30" spans="1:1" x14ac:dyDescent="0.3">
      <c r="A30" t="s">
        <v>180</v>
      </c>
    </row>
    <row r="31" spans="1:1" x14ac:dyDescent="0.3">
      <c r="A31" t="s">
        <v>94</v>
      </c>
    </row>
    <row r="32" spans="1:1" x14ac:dyDescent="0.3">
      <c r="A32" t="s">
        <v>95</v>
      </c>
    </row>
    <row r="33" spans="1:1" x14ac:dyDescent="0.3">
      <c r="A33" t="s">
        <v>181</v>
      </c>
    </row>
    <row r="34" spans="1:1" x14ac:dyDescent="0.3">
      <c r="A34" t="s">
        <v>182</v>
      </c>
    </row>
    <row r="35" spans="1:1" x14ac:dyDescent="0.3">
      <c r="A35" t="s">
        <v>183</v>
      </c>
    </row>
    <row r="36" spans="1:1" x14ac:dyDescent="0.3">
      <c r="A36" t="s">
        <v>184</v>
      </c>
    </row>
    <row r="37" spans="1:1" x14ac:dyDescent="0.3">
      <c r="A37" t="s">
        <v>180</v>
      </c>
    </row>
    <row r="38" spans="1:1" x14ac:dyDescent="0.3">
      <c r="A38" t="s">
        <v>185</v>
      </c>
    </row>
    <row r="39" spans="1:1" x14ac:dyDescent="0.3">
      <c r="A39" t="s">
        <v>186</v>
      </c>
    </row>
    <row r="40" spans="1:1" x14ac:dyDescent="0.3">
      <c r="A40" t="s">
        <v>187</v>
      </c>
    </row>
    <row r="41" spans="1:1" x14ac:dyDescent="0.3">
      <c r="A41" t="s">
        <v>188</v>
      </c>
    </row>
    <row r="42" spans="1:1" x14ac:dyDescent="0.3">
      <c r="A42" t="s">
        <v>189</v>
      </c>
    </row>
    <row r="43" spans="1:1" x14ac:dyDescent="0.3">
      <c r="A43" t="s">
        <v>190</v>
      </c>
    </row>
    <row r="44" spans="1:1" x14ac:dyDescent="0.3">
      <c r="A44" t="s">
        <v>191</v>
      </c>
    </row>
    <row r="45" spans="1:1" x14ac:dyDescent="0.3">
      <c r="A45" t="s">
        <v>192</v>
      </c>
    </row>
    <row r="46" spans="1:1" x14ac:dyDescent="0.3">
      <c r="A46" t="s">
        <v>193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9D38E-69B5-4289-A7C3-C3659624050C}">
  <sheetPr codeName="Sheet10">
    <tabColor rgb="FF00B0F0"/>
  </sheetPr>
  <dimension ref="A2:B40"/>
  <sheetViews>
    <sheetView topLeftCell="A11" workbookViewId="0">
      <selection activeCell="A27" sqref="A27"/>
    </sheetView>
  </sheetViews>
  <sheetFormatPr defaultRowHeight="14.4" x14ac:dyDescent="0.3"/>
  <cols>
    <col min="1" max="1" width="52.33203125" bestFit="1" customWidth="1"/>
  </cols>
  <sheetData>
    <row r="2" spans="1:2" x14ac:dyDescent="0.3">
      <c r="A2" t="s">
        <v>194</v>
      </c>
      <c r="B2" t="s">
        <v>136</v>
      </c>
    </row>
    <row r="3" spans="1:2" x14ac:dyDescent="0.3">
      <c r="A3" t="s">
        <v>195</v>
      </c>
    </row>
    <row r="4" spans="1:2" x14ac:dyDescent="0.3">
      <c r="A4" t="s">
        <v>151</v>
      </c>
    </row>
    <row r="5" spans="1:2" x14ac:dyDescent="0.3">
      <c r="A5" t="s">
        <v>196</v>
      </c>
    </row>
    <row r="6" spans="1:2" x14ac:dyDescent="0.3">
      <c r="A6" t="s">
        <v>197</v>
      </c>
    </row>
    <row r="7" spans="1:2" x14ac:dyDescent="0.3">
      <c r="A7" t="s">
        <v>198</v>
      </c>
    </row>
    <row r="8" spans="1:2" x14ac:dyDescent="0.3">
      <c r="A8" t="s">
        <v>164</v>
      </c>
    </row>
    <row r="9" spans="1:2" x14ac:dyDescent="0.3">
      <c r="A9" t="s">
        <v>199</v>
      </c>
    </row>
    <row r="10" spans="1:2" x14ac:dyDescent="0.3">
      <c r="A10" t="s">
        <v>97</v>
      </c>
    </row>
    <row r="11" spans="1:2" x14ac:dyDescent="0.3">
      <c r="A11" t="s">
        <v>200</v>
      </c>
    </row>
    <row r="12" spans="1:2" x14ac:dyDescent="0.3">
      <c r="A12" t="s">
        <v>201</v>
      </c>
    </row>
    <row r="13" spans="1:2" x14ac:dyDescent="0.3">
      <c r="A13" t="s">
        <v>91</v>
      </c>
    </row>
    <row r="14" spans="1:2" x14ac:dyDescent="0.3">
      <c r="A14" t="s">
        <v>202</v>
      </c>
    </row>
    <row r="15" spans="1:2" x14ac:dyDescent="0.3">
      <c r="A15" t="s">
        <v>203</v>
      </c>
    </row>
    <row r="16" spans="1:2" x14ac:dyDescent="0.3">
      <c r="A16" t="s">
        <v>204</v>
      </c>
    </row>
    <row r="17" spans="1:1" x14ac:dyDescent="0.3">
      <c r="A17" t="s">
        <v>205</v>
      </c>
    </row>
    <row r="18" spans="1:1" x14ac:dyDescent="0.3">
      <c r="A18" t="s">
        <v>206</v>
      </c>
    </row>
    <row r="19" spans="1:1" x14ac:dyDescent="0.3">
      <c r="A19" t="s">
        <v>207</v>
      </c>
    </row>
    <row r="20" spans="1:1" x14ac:dyDescent="0.3">
      <c r="A20" t="s">
        <v>208</v>
      </c>
    </row>
    <row r="21" spans="1:1" x14ac:dyDescent="0.3">
      <c r="A21" t="s">
        <v>209</v>
      </c>
    </row>
    <row r="22" spans="1:1" x14ac:dyDescent="0.3">
      <c r="A22" t="s">
        <v>210</v>
      </c>
    </row>
    <row r="23" spans="1:1" x14ac:dyDescent="0.3">
      <c r="A23" t="s">
        <v>211</v>
      </c>
    </row>
    <row r="24" spans="1:1" x14ac:dyDescent="0.3">
      <c r="A24" t="s">
        <v>212</v>
      </c>
    </row>
    <row r="25" spans="1:1" x14ac:dyDescent="0.3">
      <c r="A25" t="s">
        <v>213</v>
      </c>
    </row>
    <row r="26" spans="1:1" x14ac:dyDescent="0.3">
      <c r="A26" t="s">
        <v>214</v>
      </c>
    </row>
    <row r="27" spans="1:1" x14ac:dyDescent="0.3">
      <c r="A27" t="s">
        <v>215</v>
      </c>
    </row>
    <row r="28" spans="1:1" x14ac:dyDescent="0.3">
      <c r="A28" t="s">
        <v>216</v>
      </c>
    </row>
    <row r="29" spans="1:1" x14ac:dyDescent="0.3">
      <c r="A29" t="s">
        <v>217</v>
      </c>
    </row>
    <row r="30" spans="1:1" x14ac:dyDescent="0.3">
      <c r="A30" t="s">
        <v>218</v>
      </c>
    </row>
    <row r="31" spans="1:1" x14ac:dyDescent="0.3">
      <c r="A31" t="s">
        <v>219</v>
      </c>
    </row>
    <row r="32" spans="1:1" x14ac:dyDescent="0.3">
      <c r="A32" t="s">
        <v>220</v>
      </c>
    </row>
    <row r="33" spans="1:1" x14ac:dyDescent="0.3">
      <c r="A33" t="s">
        <v>221</v>
      </c>
    </row>
    <row r="34" spans="1:1" x14ac:dyDescent="0.3">
      <c r="A34" t="s">
        <v>222</v>
      </c>
    </row>
    <row r="35" spans="1:1" x14ac:dyDescent="0.3">
      <c r="A35" t="s">
        <v>223</v>
      </c>
    </row>
    <row r="36" spans="1:1" x14ac:dyDescent="0.3">
      <c r="A36" t="s">
        <v>224</v>
      </c>
    </row>
    <row r="37" spans="1:1" x14ac:dyDescent="0.3">
      <c r="A37" t="s">
        <v>225</v>
      </c>
    </row>
    <row r="38" spans="1:1" x14ac:dyDescent="0.3">
      <c r="A38" t="s">
        <v>226</v>
      </c>
    </row>
    <row r="39" spans="1:1" x14ac:dyDescent="0.3">
      <c r="A39" t="s">
        <v>227</v>
      </c>
    </row>
    <row r="40" spans="1:1" x14ac:dyDescent="0.3">
      <c r="A40" t="s">
        <v>228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8BC74-124A-4CC0-8A98-C2218A2E7FF0}">
  <sheetPr codeName="Sheet11">
    <tabColor rgb="FF00B0F0"/>
  </sheetPr>
  <dimension ref="A1:B110"/>
  <sheetViews>
    <sheetView topLeftCell="A18" workbookViewId="0">
      <selection activeCell="C38" sqref="C38"/>
    </sheetView>
  </sheetViews>
  <sheetFormatPr defaultRowHeight="14.4" x14ac:dyDescent="0.3"/>
  <cols>
    <col min="1" max="1" width="30.44140625" bestFit="1" customWidth="1"/>
  </cols>
  <sheetData>
    <row r="1" spans="1:2" x14ac:dyDescent="0.3">
      <c r="A1" t="s">
        <v>229</v>
      </c>
    </row>
    <row r="2" spans="1:2" x14ac:dyDescent="0.3">
      <c r="B2" t="s">
        <v>136</v>
      </c>
    </row>
    <row r="3" spans="1:2" x14ac:dyDescent="0.3">
      <c r="A3" t="s">
        <v>230</v>
      </c>
      <c r="B3" s="59"/>
    </row>
    <row r="4" spans="1:2" x14ac:dyDescent="0.3">
      <c r="A4" t="s">
        <v>231</v>
      </c>
    </row>
    <row r="5" spans="1:2" x14ac:dyDescent="0.3">
      <c r="A5" t="s">
        <v>232</v>
      </c>
      <c r="B5" s="59"/>
    </row>
    <row r="6" spans="1:2" x14ac:dyDescent="0.3">
      <c r="A6" t="s">
        <v>233</v>
      </c>
    </row>
    <row r="7" spans="1:2" x14ac:dyDescent="0.3">
      <c r="A7" t="s">
        <v>234</v>
      </c>
      <c r="B7" s="59"/>
    </row>
    <row r="8" spans="1:2" x14ac:dyDescent="0.3">
      <c r="A8" t="s">
        <v>235</v>
      </c>
    </row>
    <row r="9" spans="1:2" x14ac:dyDescent="0.3">
      <c r="A9" t="s">
        <v>236</v>
      </c>
    </row>
    <row r="10" spans="1:2" x14ac:dyDescent="0.3">
      <c r="A10" t="s">
        <v>237</v>
      </c>
    </row>
    <row r="11" spans="1:2" x14ac:dyDescent="0.3">
      <c r="A11" t="s">
        <v>238</v>
      </c>
      <c r="B11" s="59"/>
    </row>
    <row r="12" spans="1:2" x14ac:dyDescent="0.3">
      <c r="A12" t="s">
        <v>239</v>
      </c>
    </row>
    <row r="13" spans="1:2" x14ac:dyDescent="0.3">
      <c r="A13" t="s">
        <v>240</v>
      </c>
      <c r="B13" s="59"/>
    </row>
    <row r="14" spans="1:2" x14ac:dyDescent="0.3">
      <c r="A14" t="s">
        <v>241</v>
      </c>
      <c r="B14" s="59"/>
    </row>
    <row r="15" spans="1:2" x14ac:dyDescent="0.3">
      <c r="A15" t="s">
        <v>242</v>
      </c>
      <c r="B15" s="59"/>
    </row>
    <row r="16" spans="1:2" x14ac:dyDescent="0.3">
      <c r="A16" t="s">
        <v>243</v>
      </c>
    </row>
    <row r="17" spans="1:2" x14ac:dyDescent="0.3">
      <c r="A17" t="s">
        <v>244</v>
      </c>
    </row>
    <row r="19" spans="1:2" x14ac:dyDescent="0.3">
      <c r="A19" t="s">
        <v>245</v>
      </c>
    </row>
    <row r="20" spans="1:2" x14ac:dyDescent="0.3">
      <c r="A20" t="s">
        <v>246</v>
      </c>
      <c r="B20" t="s">
        <v>136</v>
      </c>
    </row>
    <row r="21" spans="1:2" x14ac:dyDescent="0.3">
      <c r="A21" t="s">
        <v>137</v>
      </c>
    </row>
    <row r="22" spans="1:2" x14ac:dyDescent="0.3">
      <c r="A22" t="s">
        <v>247</v>
      </c>
    </row>
    <row r="23" spans="1:2" x14ac:dyDescent="0.3">
      <c r="A23" t="s">
        <v>248</v>
      </c>
    </row>
    <row r="24" spans="1:2" x14ac:dyDescent="0.3">
      <c r="A24" t="s">
        <v>249</v>
      </c>
    </row>
    <row r="25" spans="1:2" x14ac:dyDescent="0.3">
      <c r="A25" t="s">
        <v>250</v>
      </c>
    </row>
    <row r="26" spans="1:2" x14ac:dyDescent="0.3">
      <c r="A26" t="s">
        <v>251</v>
      </c>
    </row>
    <row r="27" spans="1:2" x14ac:dyDescent="0.3">
      <c r="A27" t="s">
        <v>252</v>
      </c>
    </row>
    <row r="28" spans="1:2" x14ac:dyDescent="0.3">
      <c r="A28" t="s">
        <v>253</v>
      </c>
    </row>
    <row r="29" spans="1:2" x14ac:dyDescent="0.3">
      <c r="A29" t="s">
        <v>254</v>
      </c>
    </row>
    <row r="31" spans="1:2" x14ac:dyDescent="0.3">
      <c r="A31" t="s">
        <v>255</v>
      </c>
      <c r="B31" t="s">
        <v>136</v>
      </c>
    </row>
    <row r="32" spans="1:2" x14ac:dyDescent="0.3">
      <c r="A32" t="s">
        <v>256</v>
      </c>
    </row>
    <row r="33" spans="1:2" x14ac:dyDescent="0.3">
      <c r="A33" t="s">
        <v>257</v>
      </c>
    </row>
    <row r="34" spans="1:2" x14ac:dyDescent="0.3">
      <c r="A34" t="s">
        <v>258</v>
      </c>
    </row>
    <row r="35" spans="1:2" x14ac:dyDescent="0.3">
      <c r="A35" t="s">
        <v>259</v>
      </c>
    </row>
    <row r="36" spans="1:2" x14ac:dyDescent="0.3">
      <c r="A36" t="s">
        <v>260</v>
      </c>
    </row>
    <row r="37" spans="1:2" x14ac:dyDescent="0.3">
      <c r="A37" t="s">
        <v>261</v>
      </c>
    </row>
    <row r="38" spans="1:2" x14ac:dyDescent="0.3">
      <c r="A38" t="s">
        <v>262</v>
      </c>
    </row>
    <row r="39" spans="1:2" x14ac:dyDescent="0.3">
      <c r="A39" t="s">
        <v>263</v>
      </c>
    </row>
    <row r="41" spans="1:2" x14ac:dyDescent="0.3">
      <c r="A41" t="s">
        <v>264</v>
      </c>
    </row>
    <row r="42" spans="1:2" x14ac:dyDescent="0.3">
      <c r="B42" t="s">
        <v>265</v>
      </c>
    </row>
    <row r="43" spans="1:2" x14ac:dyDescent="0.3">
      <c r="A43" t="s">
        <v>266</v>
      </c>
    </row>
    <row r="44" spans="1:2" x14ac:dyDescent="0.3">
      <c r="A44" t="s">
        <v>267</v>
      </c>
    </row>
    <row r="45" spans="1:2" x14ac:dyDescent="0.3">
      <c r="A45" t="s">
        <v>268</v>
      </c>
    </row>
    <row r="46" spans="1:2" x14ac:dyDescent="0.3">
      <c r="A46" t="s">
        <v>269</v>
      </c>
    </row>
    <row r="47" spans="1:2" x14ac:dyDescent="0.3">
      <c r="A47" t="s">
        <v>270</v>
      </c>
    </row>
    <row r="48" spans="1:2" x14ac:dyDescent="0.3">
      <c r="A48" t="s">
        <v>271</v>
      </c>
    </row>
    <row r="49" spans="1:1" x14ac:dyDescent="0.3">
      <c r="A49" t="s">
        <v>267</v>
      </c>
    </row>
    <row r="50" spans="1:1" x14ac:dyDescent="0.3">
      <c r="A50" t="s">
        <v>268</v>
      </c>
    </row>
    <row r="51" spans="1:1" x14ac:dyDescent="0.3">
      <c r="A51" t="s">
        <v>269</v>
      </c>
    </row>
    <row r="52" spans="1:1" x14ac:dyDescent="0.3">
      <c r="A52" t="s">
        <v>270</v>
      </c>
    </row>
    <row r="53" spans="1:1" x14ac:dyDescent="0.3">
      <c r="A53" t="s">
        <v>272</v>
      </c>
    </row>
    <row r="54" spans="1:1" x14ac:dyDescent="0.3">
      <c r="A54" t="s">
        <v>267</v>
      </c>
    </row>
    <row r="55" spans="1:1" x14ac:dyDescent="0.3">
      <c r="A55" t="s">
        <v>268</v>
      </c>
    </row>
    <row r="56" spans="1:1" x14ac:dyDescent="0.3">
      <c r="A56" t="s">
        <v>269</v>
      </c>
    </row>
    <row r="57" spans="1:1" x14ac:dyDescent="0.3">
      <c r="A57" t="s">
        <v>270</v>
      </c>
    </row>
    <row r="58" spans="1:1" x14ac:dyDescent="0.3">
      <c r="A58" t="s">
        <v>273</v>
      </c>
    </row>
    <row r="59" spans="1:1" x14ac:dyDescent="0.3">
      <c r="A59" t="s">
        <v>267</v>
      </c>
    </row>
    <row r="60" spans="1:1" x14ac:dyDescent="0.3">
      <c r="A60" t="s">
        <v>268</v>
      </c>
    </row>
    <row r="61" spans="1:1" x14ac:dyDescent="0.3">
      <c r="A61" t="s">
        <v>269</v>
      </c>
    </row>
    <row r="62" spans="1:1" x14ac:dyDescent="0.3">
      <c r="A62" t="s">
        <v>270</v>
      </c>
    </row>
    <row r="64" spans="1:1" x14ac:dyDescent="0.3">
      <c r="A64" t="s">
        <v>274</v>
      </c>
    </row>
    <row r="65" spans="1:2" x14ac:dyDescent="0.3">
      <c r="A65" t="s">
        <v>275</v>
      </c>
      <c r="B65" t="s">
        <v>136</v>
      </c>
    </row>
    <row r="66" spans="1:2" x14ac:dyDescent="0.3">
      <c r="A66" t="s">
        <v>276</v>
      </c>
    </row>
    <row r="67" spans="1:2" x14ac:dyDescent="0.3">
      <c r="A67" t="s">
        <v>277</v>
      </c>
    </row>
    <row r="68" spans="1:2" x14ac:dyDescent="0.3">
      <c r="A68" t="s">
        <v>278</v>
      </c>
    </row>
    <row r="69" spans="1:2" x14ac:dyDescent="0.3">
      <c r="A69" t="s">
        <v>279</v>
      </c>
    </row>
    <row r="70" spans="1:2" x14ac:dyDescent="0.3">
      <c r="A70" t="s">
        <v>280</v>
      </c>
    </row>
    <row r="72" spans="1:2" x14ac:dyDescent="0.3">
      <c r="A72" t="s">
        <v>281</v>
      </c>
    </row>
    <row r="73" spans="1:2" x14ac:dyDescent="0.3">
      <c r="A73" t="s">
        <v>282</v>
      </c>
      <c r="B73" t="s">
        <v>265</v>
      </c>
    </row>
    <row r="74" spans="1:2" x14ac:dyDescent="0.3">
      <c r="A74" t="s">
        <v>283</v>
      </c>
    </row>
    <row r="75" spans="1:2" x14ac:dyDescent="0.3">
      <c r="A75" t="s">
        <v>284</v>
      </c>
    </row>
    <row r="76" spans="1:2" x14ac:dyDescent="0.3">
      <c r="A76" t="s">
        <v>201</v>
      </c>
    </row>
    <row r="77" spans="1:2" x14ac:dyDescent="0.3">
      <c r="A77" t="s">
        <v>285</v>
      </c>
    </row>
    <row r="78" spans="1:2" x14ac:dyDescent="0.3">
      <c r="A78" t="s">
        <v>286</v>
      </c>
    </row>
    <row r="79" spans="1:2" x14ac:dyDescent="0.3">
      <c r="A79" t="s">
        <v>287</v>
      </c>
    </row>
    <row r="80" spans="1:2" x14ac:dyDescent="0.3">
      <c r="A80" t="s">
        <v>288</v>
      </c>
    </row>
    <row r="81" spans="1:2" x14ac:dyDescent="0.3">
      <c r="A81" t="s">
        <v>289</v>
      </c>
    </row>
    <row r="82" spans="1:2" x14ac:dyDescent="0.3">
      <c r="A82" t="s">
        <v>290</v>
      </c>
    </row>
    <row r="83" spans="1:2" x14ac:dyDescent="0.3">
      <c r="A83" t="s">
        <v>291</v>
      </c>
    </row>
    <row r="84" spans="1:2" x14ac:dyDescent="0.3">
      <c r="A84" t="s">
        <v>292</v>
      </c>
    </row>
    <row r="85" spans="1:2" x14ac:dyDescent="0.3">
      <c r="A85" t="s">
        <v>293</v>
      </c>
    </row>
    <row r="86" spans="1:2" x14ac:dyDescent="0.3">
      <c r="A86" t="s">
        <v>294</v>
      </c>
    </row>
    <row r="87" spans="1:2" x14ac:dyDescent="0.3">
      <c r="A87" t="s">
        <v>295</v>
      </c>
    </row>
    <row r="88" spans="1:2" x14ac:dyDescent="0.3">
      <c r="A88" t="s">
        <v>296</v>
      </c>
    </row>
    <row r="89" spans="1:2" x14ac:dyDescent="0.3">
      <c r="A89" t="s">
        <v>16</v>
      </c>
    </row>
    <row r="90" spans="1:2" x14ac:dyDescent="0.3">
      <c r="A90" t="s">
        <v>297</v>
      </c>
    </row>
    <row r="91" spans="1:2" x14ac:dyDescent="0.3">
      <c r="A91" t="s">
        <v>298</v>
      </c>
    </row>
    <row r="92" spans="1:2" x14ac:dyDescent="0.3">
      <c r="A92" t="s">
        <v>299</v>
      </c>
    </row>
    <row r="93" spans="1:2" x14ac:dyDescent="0.3">
      <c r="A93" t="s">
        <v>300</v>
      </c>
    </row>
    <row r="95" spans="1:2" x14ac:dyDescent="0.3">
      <c r="A95" t="s">
        <v>301</v>
      </c>
      <c r="B95" t="s">
        <v>265</v>
      </c>
    </row>
    <row r="96" spans="1:2" x14ac:dyDescent="0.3">
      <c r="A96" t="s">
        <v>302</v>
      </c>
    </row>
    <row r="97" spans="1:2" x14ac:dyDescent="0.3">
      <c r="A97" t="s">
        <v>303</v>
      </c>
    </row>
    <row r="98" spans="1:2" x14ac:dyDescent="0.3">
      <c r="A98" t="s">
        <v>304</v>
      </c>
    </row>
    <row r="99" spans="1:2" x14ac:dyDescent="0.3">
      <c r="A99" t="s">
        <v>305</v>
      </c>
    </row>
    <row r="101" spans="1:2" x14ac:dyDescent="0.3">
      <c r="A101" t="s">
        <v>306</v>
      </c>
    </row>
    <row r="102" spans="1:2" x14ac:dyDescent="0.3">
      <c r="A102" t="s">
        <v>307</v>
      </c>
      <c r="B102" t="s">
        <v>136</v>
      </c>
    </row>
    <row r="103" spans="1:2" x14ac:dyDescent="0.3">
      <c r="A103" t="s">
        <v>308</v>
      </c>
    </row>
    <row r="104" spans="1:2" x14ac:dyDescent="0.3">
      <c r="A104" t="s">
        <v>309</v>
      </c>
    </row>
    <row r="105" spans="1:2" x14ac:dyDescent="0.3">
      <c r="A105" t="s">
        <v>310</v>
      </c>
    </row>
    <row r="106" spans="1:2" x14ac:dyDescent="0.3">
      <c r="A106" t="s">
        <v>311</v>
      </c>
    </row>
    <row r="107" spans="1:2" x14ac:dyDescent="0.3">
      <c r="A107" t="s">
        <v>312</v>
      </c>
    </row>
    <row r="108" spans="1:2" x14ac:dyDescent="0.3">
      <c r="A108" t="s">
        <v>313</v>
      </c>
    </row>
    <row r="109" spans="1:2" x14ac:dyDescent="0.3">
      <c r="A109" t="s">
        <v>314</v>
      </c>
    </row>
    <row r="110" spans="1:2" x14ac:dyDescent="0.3">
      <c r="A110" t="s">
        <v>315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36C10-B6B1-4DA2-9C93-B51419F00FA8}">
  <sheetPr codeName="Sheet12">
    <tabColor rgb="FF00B0F0"/>
  </sheetPr>
  <dimension ref="A1:C1"/>
  <sheetViews>
    <sheetView workbookViewId="0">
      <selection activeCell="M617" sqref="M617"/>
    </sheetView>
  </sheetViews>
  <sheetFormatPr defaultRowHeight="14.4" x14ac:dyDescent="0.3"/>
  <cols>
    <col min="2" max="2" width="12.77734375" bestFit="1" customWidth="1"/>
  </cols>
  <sheetData>
    <row r="1" spans="1:3" x14ac:dyDescent="0.3">
      <c r="A1" t="s">
        <v>316</v>
      </c>
      <c r="B1" t="s">
        <v>317</v>
      </c>
      <c r="C1" t="s">
        <v>318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DCF</vt:lpstr>
      <vt:lpstr>Multiples</vt:lpstr>
      <vt:lpstr>DDM</vt:lpstr>
      <vt:lpstr>FCFF &amp; FCFE</vt:lpstr>
      <vt:lpstr>Growth Rates</vt:lpstr>
      <vt:lpstr>Change WC</vt:lpstr>
      <vt:lpstr>Income Statement</vt:lpstr>
      <vt:lpstr>Balance Sheet (Annual)</vt:lpstr>
      <vt:lpstr>Balance Sheet (Quarterly)</vt:lpstr>
      <vt:lpstr>Cash Flow Statement</vt:lpstr>
      <vt:lpstr>Key Ratios</vt:lpstr>
      <vt:lpstr>Debt Input</vt:lpstr>
      <vt:lpstr>'Debt Input'!ExternalData_1</vt:lpstr>
    </vt:vector>
  </TitlesOfParts>
  <Company>Information Technology Services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D.Nagy, Danny</dc:creator>
  <cp:lastModifiedBy>Shyam Kannan</cp:lastModifiedBy>
  <dcterms:created xsi:type="dcterms:W3CDTF">2020-02-13T02:26:08Z</dcterms:created>
  <dcterms:modified xsi:type="dcterms:W3CDTF">2020-03-26T06:38:45Z</dcterms:modified>
</cp:coreProperties>
</file>